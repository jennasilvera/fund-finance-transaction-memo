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Assumptions" sheetId="2" r:id="rId2"/>
    <sheet name="Investor Commitments" sheetId="3" r:id="rId3"/>
    <sheet name="Borrowing Base" sheetId="4" r:id="rId4"/>
    <sheet name="NAV Collateral" sheetId="5" r:id="rId5"/>
    <sheet name="Facility Summary" sheetId="6" r:id="rId6"/>
    <sheet name="Covenant Monitoring" sheetId="7" r:id="rId7"/>
    <sheet name="Output Tables" sheetId="8" r:id="rId8"/>
  </sheets>
  <definedNames>
    <definedName name="_xlnm._FilterDatabase" localSheetId="6" hidden="1">'Covenant Monitoring'!$A$3:$R$15</definedName>
    <definedName name="_xlnm._FilterDatabase" localSheetId="2" hidden="1">'Investor Commitments'!$A$3:$L$18</definedName>
    <definedName name="_xlnm._FilterDatabase" localSheetId="4" hidden="1">'NAV Collateral'!$A$3:$L$21</definedName>
  </definedNames>
  <calcPr calcId="124519" fullCalcOnLoad="1"/>
</workbook>
</file>

<file path=xl/sharedStrings.xml><?xml version="1.0" encoding="utf-8"?>
<sst xmlns="http://schemas.openxmlformats.org/spreadsheetml/2006/main" count="544" uniqueCount="258">
  <si>
    <t>Fund Finance Transaction Memo &amp; Credit Request Package</t>
  </si>
  <si>
    <t>Project Type</t>
  </si>
  <si>
    <t>Simulated banker-style fund finance credit package</t>
  </si>
  <si>
    <t>Sponsor</t>
  </si>
  <si>
    <t>Aurora Ridge Capital Partners, L.P.</t>
  </si>
  <si>
    <t>Fund</t>
  </si>
  <si>
    <t>Aurora Ridge Private Credit Fund IV, L.P.</t>
  </si>
  <si>
    <t>Borrower</t>
  </si>
  <si>
    <t>ARPCF IV Financing Vehicle, L.P.</t>
  </si>
  <si>
    <t>Facility</t>
  </si>
  <si>
    <t>Senior secured hybrid subscription / NAV revolving credit facility</t>
  </si>
  <si>
    <t>Purpose</t>
  </si>
  <si>
    <t>Investment funding, follow-on capital, and working capital liquidity</t>
  </si>
  <si>
    <t>Important Disclaimer</t>
  </si>
  <si>
    <t>This workbook is a simulated portfolio project for educational and recruiting purposes. All sponsor names, fund names, investor information, facility terms, portfolio data, and credit metrics are synthetic. No real client, fund, bank, investor, legal, or proprietary transaction information is used.</t>
  </si>
  <si>
    <t>Workbook Sections</t>
  </si>
  <si>
    <t>Assumptions</t>
  </si>
  <si>
    <t>Core transaction and covenant assumptions</t>
  </si>
  <si>
    <t>Investor Commitments</t>
  </si>
  <si>
    <t>Synthetic LP commitments, funded / unfunded amounts, eligibility, and advance rates</t>
  </si>
  <si>
    <t>Borrowing Base</t>
  </si>
  <si>
    <t>Subscription borrowing base and concentration tests</t>
  </si>
  <si>
    <t>NAV Collateral</t>
  </si>
  <si>
    <t>Synthetic portfolio positions and NAV collateral calculations</t>
  </si>
  <si>
    <t>Facility Summary</t>
  </si>
  <si>
    <t>Debt capacity, utilization, LTV, and excess availability</t>
  </si>
  <si>
    <t>Covenant Monitoring</t>
  </si>
  <si>
    <t>Monthly covenant status and monitoring controls</t>
  </si>
  <si>
    <t>Output Tables</t>
  </si>
  <si>
    <t>Banker-style summary tables for memo and presentation use</t>
  </si>
  <si>
    <t>metric</t>
  </si>
  <si>
    <t>value</t>
  </si>
  <si>
    <t>Facility Type</t>
  </si>
  <si>
    <t>Facility Size</t>
  </si>
  <si>
    <t>Facility Outstanding</t>
  </si>
  <si>
    <t>Tenor Months</t>
  </si>
  <si>
    <t>Extension Option Months</t>
  </si>
  <si>
    <t>SOFR Floor</t>
  </si>
  <si>
    <t>Credit Spread</t>
  </si>
  <si>
    <t>Unused Fee</t>
  </si>
  <si>
    <t>Total Commitments</t>
  </si>
  <si>
    <t>Funded Commitments</t>
  </si>
  <si>
    <t>Unfunded Commitments</t>
  </si>
  <si>
    <t>Eligible Unfunded Commitments</t>
  </si>
  <si>
    <t>Subscription Borrowing Base</t>
  </si>
  <si>
    <t>Gross NAV</t>
  </si>
  <si>
    <t>Eligible NAV</t>
  </si>
  <si>
    <t>Maximum LTV Covenant</t>
  </si>
  <si>
    <t>Current LTV</t>
  </si>
  <si>
    <t>NAV Floor</t>
  </si>
  <si>
    <t>Maximum NAV Debt Capacity</t>
  </si>
  <si>
    <t>Total Debt Capacity</t>
  </si>
  <si>
    <t>Excess Availability</t>
  </si>
  <si>
    <t>Minimum Unfunded Coverage Covenant</t>
  </si>
  <si>
    <t>Current Unfunded Coverage</t>
  </si>
  <si>
    <t>Senior Secured Hybrid Subscription / NAV Revolving Credit Facility</t>
  </si>
  <si>
    <t>150000000</t>
  </si>
  <si>
    <t>110000000</t>
  </si>
  <si>
    <t>24</t>
  </si>
  <si>
    <t>12</t>
  </si>
  <si>
    <t>0.0</t>
  </si>
  <si>
    <t>0.0275</t>
  </si>
  <si>
    <t>0.005</t>
  </si>
  <si>
    <t>1200000000</t>
  </si>
  <si>
    <t>540000000.0</t>
  </si>
  <si>
    <t>660000000.0</t>
  </si>
  <si>
    <t>627000000.0</t>
  </si>
  <si>
    <t>484137500.0</t>
  </si>
  <si>
    <t>635970000.0</t>
  </si>
  <si>
    <t>584090000.0</t>
  </si>
  <si>
    <t>0.35</t>
  </si>
  <si>
    <t>0.18832714136520057</t>
  </si>
  <si>
    <t>450000000</t>
  </si>
  <si>
    <t>204431500.0</t>
  </si>
  <si>
    <t>40000000</t>
  </si>
  <si>
    <t>2.0</t>
  </si>
  <si>
    <t>5.7</t>
  </si>
  <si>
    <t>Core Facility Assumptions</t>
  </si>
  <si>
    <t>investor_id</t>
  </si>
  <si>
    <t>investor_name</t>
  </si>
  <si>
    <t>investor_type</t>
  </si>
  <si>
    <t>total_commitment</t>
  </si>
  <si>
    <t>funded_pct</t>
  </si>
  <si>
    <t>internal_rating</t>
  </si>
  <si>
    <t>eligible_in_borrowing_base</t>
  </si>
  <si>
    <t>advance_rate</t>
  </si>
  <si>
    <t>funded_commitment</t>
  </si>
  <si>
    <t>unfunded_commitment</t>
  </si>
  <si>
    <t>borrowing_base_contribution</t>
  </si>
  <si>
    <t>commitment_pct</t>
  </si>
  <si>
    <t>INV001</t>
  </si>
  <si>
    <t>INV002</t>
  </si>
  <si>
    <t>INV003</t>
  </si>
  <si>
    <t>INV004</t>
  </si>
  <si>
    <t>INV005</t>
  </si>
  <si>
    <t>INV006</t>
  </si>
  <si>
    <t>INV007</t>
  </si>
  <si>
    <t>INV008</t>
  </si>
  <si>
    <t>INV009</t>
  </si>
  <si>
    <t>INV010</t>
  </si>
  <si>
    <t>INV011</t>
  </si>
  <si>
    <t>INV012</t>
  </si>
  <si>
    <t>INV013</t>
  </si>
  <si>
    <t>INV014</t>
  </si>
  <si>
    <t>INV015</t>
  </si>
  <si>
    <t>Northstar Public Pension Trust</t>
  </si>
  <si>
    <t>Atlantic Sovereign Investment Authority</t>
  </si>
  <si>
    <t>Harbor State Retirement System</t>
  </si>
  <si>
    <t>Crescent Life Insurance Company</t>
  </si>
  <si>
    <t>Granite University Endowment</t>
  </si>
  <si>
    <t>Redwood Foundation</t>
  </si>
  <si>
    <t>Meridian Fund-of-Funds III</t>
  </si>
  <si>
    <t>Pioneer Private Markets Program</t>
  </si>
  <si>
    <t>Summit Family Capital</t>
  </si>
  <si>
    <t>Bluewater Family Office</t>
  </si>
  <si>
    <t>Aurora Ridge GP Commitment</t>
  </si>
  <si>
    <t>Lakeside Wealth Partners</t>
  </si>
  <si>
    <t>Cedar Insurance Separate Account</t>
  </si>
  <si>
    <t>Westlake Charitable Foundation</t>
  </si>
  <si>
    <t>Oakmont Private Markets Feeder</t>
  </si>
  <si>
    <t>Public Pension</t>
  </si>
  <si>
    <t>Sovereign Wealth</t>
  </si>
  <si>
    <t>Insurance Company</t>
  </si>
  <si>
    <t>Endowment / Foundation</t>
  </si>
  <si>
    <t>Fund-of-Funds</t>
  </si>
  <si>
    <t>Family Office / HNW</t>
  </si>
  <si>
    <t>GP / Affiliate</t>
  </si>
  <si>
    <t>Feeder / Other</t>
  </si>
  <si>
    <t>A</t>
  </si>
  <si>
    <t>A-</t>
  </si>
  <si>
    <t>BBB+</t>
  </si>
  <si>
    <t>BBB</t>
  </si>
  <si>
    <t>BB+</t>
  </si>
  <si>
    <t>NR</t>
  </si>
  <si>
    <t>BB</t>
  </si>
  <si>
    <t>Yes</t>
  </si>
  <si>
    <t>No</t>
  </si>
  <si>
    <t>Investor Commitments &amp; Borrowing Base Eligibility</t>
  </si>
  <si>
    <t>investor_count</t>
  </si>
  <si>
    <t>effective_advance_rate</t>
  </si>
  <si>
    <t>test</t>
  </si>
  <si>
    <t>current_value</t>
  </si>
  <si>
    <t>limit</t>
  </si>
  <si>
    <t>status</t>
  </si>
  <si>
    <t>Largest Investor Concentration</t>
  </si>
  <si>
    <t>Top 5 Investor Concentration</t>
  </si>
  <si>
    <t>GP / Affiliate Concentration</t>
  </si>
  <si>
    <t>Pass</t>
  </si>
  <si>
    <t>Borrowing Base Summary</t>
  </si>
  <si>
    <t>Concentration Tests</t>
  </si>
  <si>
    <t>position_id</t>
  </si>
  <si>
    <t>portfolio_company</t>
  </si>
  <si>
    <t>industry</t>
  </si>
  <si>
    <t>asset_type</t>
  </si>
  <si>
    <t>cost_basis</t>
  </si>
  <si>
    <t>fair_value_marks</t>
  </si>
  <si>
    <t>eligible_nav_collateral</t>
  </si>
  <si>
    <t>nav_advance_rate</t>
  </si>
  <si>
    <t>fair_value</t>
  </si>
  <si>
    <t>nav_collateral_value</t>
  </si>
  <si>
    <t>portfolio_weight</t>
  </si>
  <si>
    <t>POS001</t>
  </si>
  <si>
    <t>POS002</t>
  </si>
  <si>
    <t>POS003</t>
  </si>
  <si>
    <t>POS004</t>
  </si>
  <si>
    <t>POS005</t>
  </si>
  <si>
    <t>POS006</t>
  </si>
  <si>
    <t>POS007</t>
  </si>
  <si>
    <t>POS008</t>
  </si>
  <si>
    <t>POS009</t>
  </si>
  <si>
    <t>POS010</t>
  </si>
  <si>
    <t>POS011</t>
  </si>
  <si>
    <t>POS012</t>
  </si>
  <si>
    <t>POS013</t>
  </si>
  <si>
    <t>POS014</t>
  </si>
  <si>
    <t>POS015</t>
  </si>
  <si>
    <t>POS016</t>
  </si>
  <si>
    <t>POS017</t>
  </si>
  <si>
    <t>POS018</t>
  </si>
  <si>
    <t>Alpha Diagnostics Term Loan</t>
  </si>
  <si>
    <t>Beacon Software First Lien Loan</t>
  </si>
  <si>
    <t>Canyon Logistics Unitranche</t>
  </si>
  <si>
    <t>Delta Packaging First Lien Loan</t>
  </si>
  <si>
    <t>Evergreen IT Services Loan</t>
  </si>
  <si>
    <t>Frontier Specialty Manufacturing</t>
  </si>
  <si>
    <t>Granite Business Services Debt</t>
  </si>
  <si>
    <t>Harbor Consumer Products Loan</t>
  </si>
  <si>
    <t>Ivory Medical Devices Loan</t>
  </si>
  <si>
    <t>Juniper Data Infrastructure Loan</t>
  </si>
  <si>
    <t>Keystone Education Services Debt</t>
  </si>
  <si>
    <t>Lighthouse Restaurant Group Loan</t>
  </si>
  <si>
    <t>Monarch Specialty Chemicals Loan</t>
  </si>
  <si>
    <t>Northwind Distribution Loan</t>
  </si>
  <si>
    <t>Orchard Media Services Loan</t>
  </si>
  <si>
    <t>Pinnacle Environmental Services</t>
  </si>
  <si>
    <t>Quartz Security Systems Loan</t>
  </si>
  <si>
    <t>Riverview Food Ingredients Loan</t>
  </si>
  <si>
    <t>Healthcare</t>
  </si>
  <si>
    <t>Software</t>
  </si>
  <si>
    <t>Logistics</t>
  </si>
  <si>
    <t>Packaging</t>
  </si>
  <si>
    <t>IT Services</t>
  </si>
  <si>
    <t>Industrials</t>
  </si>
  <si>
    <t>Business Services</t>
  </si>
  <si>
    <t>Consumer</t>
  </si>
  <si>
    <t>Technology Infrastructure</t>
  </si>
  <si>
    <t>Education</t>
  </si>
  <si>
    <t>Restaurants</t>
  </si>
  <si>
    <t>Chemicals</t>
  </si>
  <si>
    <t>Distribution</t>
  </si>
  <si>
    <t>Media</t>
  </si>
  <si>
    <t>Environmental Services</t>
  </si>
  <si>
    <t>Security Services</t>
  </si>
  <si>
    <t>Food Ingredients</t>
  </si>
  <si>
    <t>Senior Secured Loan</t>
  </si>
  <si>
    <t>Unitranche Loan</t>
  </si>
  <si>
    <t>Second Lien Loan</t>
  </si>
  <si>
    <t>Performing</t>
  </si>
  <si>
    <t>Watchlist</t>
  </si>
  <si>
    <t>NAV Collateral &amp; Portfolio Positions</t>
  </si>
  <si>
    <t>Facility Capacity, LTV &amp; Excess Availability</t>
  </si>
  <si>
    <t>reporting_date</t>
  </si>
  <si>
    <t>eligible_nav</t>
  </si>
  <si>
    <t>facility_size</t>
  </si>
  <si>
    <t>facility_outstanding</t>
  </si>
  <si>
    <t>facility_utilization_pct</t>
  </si>
  <si>
    <t>subscription_borrowing_base</t>
  </si>
  <si>
    <t>max_nav_debt_capacity</t>
  </si>
  <si>
    <t>total_debt_capacity</t>
  </si>
  <si>
    <t>excess_availability</t>
  </si>
  <si>
    <t>ltv</t>
  </si>
  <si>
    <t>max_ltv_covenant</t>
  </si>
  <si>
    <t>nav_floor</t>
  </si>
  <si>
    <t>covenant_status</t>
  </si>
  <si>
    <t>watchlist_item</t>
  </si>
  <si>
    <t>ltv_status</t>
  </si>
  <si>
    <t>nav_floor_status</t>
  </si>
  <si>
    <t>availability_status</t>
  </si>
  <si>
    <t>overall_status</t>
  </si>
  <si>
    <t>2026-01-31</t>
  </si>
  <si>
    <t>2026-02-28</t>
  </si>
  <si>
    <t>2026-03-31</t>
  </si>
  <si>
    <t>2026-04-30</t>
  </si>
  <si>
    <t>2026-05-31</t>
  </si>
  <si>
    <t>2026-06-30</t>
  </si>
  <si>
    <t>2026-07-31</t>
  </si>
  <si>
    <t>2026-08-31</t>
  </si>
  <si>
    <t>2026-09-30</t>
  </si>
  <si>
    <t>2026-10-31</t>
  </si>
  <si>
    <t>2026-11-30</t>
  </si>
  <si>
    <t>2026-12-31</t>
  </si>
  <si>
    <t>None</t>
  </si>
  <si>
    <t>Monthly Covenant Monitoring</t>
  </si>
  <si>
    <t>Memo / Credit Request Output Tables</t>
  </si>
  <si>
    <t>Key Facility Metrics</t>
  </si>
  <si>
    <t>Investor Type Summary</t>
  </si>
  <si>
    <t>Top Investor Summary</t>
  </si>
  <si>
    <t>rank</t>
  </si>
</sst>
</file>

<file path=xl/styles.xml><?xml version="1.0" encoding="utf-8"?>
<styleSheet xmlns="http://schemas.openxmlformats.org/spreadsheetml/2006/main">
  <numFmts count="2">
    <numFmt numFmtId="164" formatCode="$#,##0.0,,&quot;mm&quot;;[Red]($#,##0.0,,&quot;mm&quot;);-"/>
    <numFmt numFmtId="165" formatCode="0.0%;[Red](0.0%);-"/>
  </numFmts>
  <fonts count="4">
    <font>
      <sz val="11"/>
      <color theme="1"/>
      <name val="Calibri"/>
      <family val="2"/>
      <scheme val="minor"/>
    </font>
    <font>
      <b/>
      <sz val="16"/>
      <color rgb="FFFFFFFF"/>
      <name val="Calibri"/>
      <family val="2"/>
      <scheme val="minor"/>
    </font>
    <font>
      <b/>
      <sz val="11"/>
      <color rgb="FFFFFFFF"/>
      <name val="Calibri"/>
      <family val="2"/>
      <scheme val="minor"/>
    </font>
    <font>
      <sz val="11"/>
      <color rgb="FF000000"/>
      <name val="Calibri"/>
      <family val="2"/>
      <scheme val="minor"/>
    </font>
  </fonts>
  <fills count="5">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5B9BD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xf>
    <xf numFmtId="0" fontId="2" fillId="3" borderId="1" xfId="0" applyFont="1" applyFill="1" applyBorder="1" applyAlignment="1">
      <alignment horizontal="left" vertical="center"/>
    </xf>
    <xf numFmtId="0" fontId="0" fillId="0" borderId="1" xfId="0" applyBorder="1" applyAlignment="1">
      <alignment wrapText="1"/>
    </xf>
    <xf numFmtId="0" fontId="2" fillId="4" borderId="1" xfId="0" applyFont="1" applyFill="1" applyBorder="1" applyAlignment="1">
      <alignment horizontal="center" vertical="center" wrapText="1"/>
    </xf>
    <xf numFmtId="164" fontId="3" fillId="0" borderId="1" xfId="0" applyNumberFormat="1" applyFont="1" applyBorder="1"/>
    <xf numFmtId="165" fontId="3" fillId="0" borderId="1" xfId="0" applyNumberFormat="1" applyFont="1" applyBorder="1"/>
  </cellXfs>
  <cellStyles count="1">
    <cellStyle name="Normal" xfId="0" builtinId="0"/>
  </cellStyles>
  <dxfs count="4">
    <dxf>
      <font>
        <color rgb="FF0000FF"/>
      </font>
      <numFmt numFmtId="164" formatCode="$#,##0.0,,&quot;mm&quot;;[Red]($#,##0.0,,&quot;mm&quot;);-"/>
      <fill>
        <patternFill>
          <bgColor rgb="FFFFF2CC"/>
        </patternFill>
      </fill>
      <border>
        <left style="thin">
          <color auto="1"/>
        </left>
        <right style="thin">
          <color auto="1"/>
        </right>
        <top style="thin">
          <color auto="1"/>
        </top>
        <bottom style="thin">
          <color auto="1"/>
        </bottom>
        <vertical/>
        <horizontal/>
      </border>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Eligible NAV Trend</a:t>
            </a:r>
          </a:p>
        </c:rich>
      </c:tx>
      <c:layout/>
    </c:title>
    <c:plotArea>
      <c:layout/>
      <c:lineChart>
        <c:grouping val="standard"/>
        <c:ser>
          <c:idx val="0"/>
          <c:order val="0"/>
          <c:tx>
            <c:v>Eligible NAV</c:v>
          </c:tx>
          <c:marker>
            <c:symbol val="none"/>
          </c:marker>
          <c:cat>
            <c:strRef>
              <c:f>'Covenant Monitoring'!$A$4:$A$15</c:f>
              <c:strCache>
                <c:ptCount val="12"/>
                <c:pt idx="0">
                  <c:v>2026-01-31</c:v>
                </c:pt>
                <c:pt idx="1">
                  <c:v>2026-02-28</c:v>
                </c:pt>
                <c:pt idx="2">
                  <c:v>2026-03-31</c:v>
                </c:pt>
                <c:pt idx="3">
                  <c:v>2026-04-30</c:v>
                </c:pt>
                <c:pt idx="4">
                  <c:v>2026-05-31</c:v>
                </c:pt>
                <c:pt idx="5">
                  <c:v>2026-06-30</c:v>
                </c:pt>
                <c:pt idx="6">
                  <c:v>2026-07-31</c:v>
                </c:pt>
                <c:pt idx="7">
                  <c:v>2026-08-31</c:v>
                </c:pt>
                <c:pt idx="8">
                  <c:v>2026-09-30</c:v>
                </c:pt>
                <c:pt idx="9">
                  <c:v>2026-10-31</c:v>
                </c:pt>
                <c:pt idx="10">
                  <c:v>2026-11-30</c:v>
                </c:pt>
                <c:pt idx="11">
                  <c:v>2026-12-31</c:v>
                </c:pt>
              </c:strCache>
            </c:strRef>
          </c:cat>
          <c:val>
            <c:numRef>
              <c:f>'Covenant Monitoring'!$B$4:$B$15</c:f>
              <c:numCache>
                <c:formatCode>General</c:formatCode>
                <c:ptCount val="12"/>
                <c:pt idx="0">
                  <c:v>584090000</c:v>
                </c:pt>
                <c:pt idx="1">
                  <c:v>587594540</c:v>
                </c:pt>
                <c:pt idx="2">
                  <c:v>589944918.16</c:v>
                </c:pt>
                <c:pt idx="3">
                  <c:v>584045468.98</c:v>
                </c:pt>
                <c:pt idx="4">
                  <c:v>585797605.39</c:v>
                </c:pt>
                <c:pt idx="5">
                  <c:v>588726593.41</c:v>
                </c:pt>
                <c:pt idx="6">
                  <c:v>578129514.73</c:v>
                </c:pt>
                <c:pt idx="7">
                  <c:v>579285773.76</c:v>
                </c:pt>
                <c:pt idx="8">
                  <c:v>581602916.86</c:v>
                </c:pt>
                <c:pt idx="9">
                  <c:v>578113299.35</c:v>
                </c:pt>
                <c:pt idx="10">
                  <c:v>579847639.25</c:v>
                </c:pt>
                <c:pt idx="11">
                  <c:v>582746877.45</c:v>
                </c:pt>
              </c:numCache>
            </c:numRef>
          </c:val>
        </c:ser>
        <c:marker val="1"/>
        <c:axId val="50010001"/>
        <c:axId val="5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0,,&quot;mm&quot;"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LTV Trend</a:t>
            </a:r>
          </a:p>
        </c:rich>
      </c:tx>
      <c:layout/>
    </c:title>
    <c:plotArea>
      <c:layout/>
      <c:lineChart>
        <c:grouping val="standard"/>
        <c:ser>
          <c:idx val="0"/>
          <c:order val="0"/>
          <c:tx>
            <c:v>LTV</c:v>
          </c:tx>
          <c:marker>
            <c:symbol val="none"/>
          </c:marker>
          <c:cat>
            <c:strRef>
              <c:f>'Covenant Monitoring'!$A$4:$A$15</c:f>
              <c:strCache>
                <c:ptCount val="12"/>
                <c:pt idx="0">
                  <c:v>2026-01-31</c:v>
                </c:pt>
                <c:pt idx="1">
                  <c:v>2026-02-28</c:v>
                </c:pt>
                <c:pt idx="2">
                  <c:v>2026-03-31</c:v>
                </c:pt>
                <c:pt idx="3">
                  <c:v>2026-04-30</c:v>
                </c:pt>
                <c:pt idx="4">
                  <c:v>2026-05-31</c:v>
                </c:pt>
                <c:pt idx="5">
                  <c:v>2026-06-30</c:v>
                </c:pt>
                <c:pt idx="6">
                  <c:v>2026-07-31</c:v>
                </c:pt>
                <c:pt idx="7">
                  <c:v>2026-08-31</c:v>
                </c:pt>
                <c:pt idx="8">
                  <c:v>2026-09-30</c:v>
                </c:pt>
                <c:pt idx="9">
                  <c:v>2026-10-31</c:v>
                </c:pt>
                <c:pt idx="10">
                  <c:v>2026-11-30</c:v>
                </c:pt>
                <c:pt idx="11">
                  <c:v>2026-12-31</c:v>
                </c:pt>
              </c:strCache>
            </c:strRef>
          </c:cat>
          <c:val>
            <c:numRef>
              <c:f>'Covenant Monitoring'!$J$4:$J$15</c:f>
              <c:numCache>
                <c:formatCode>General</c:formatCode>
                <c:ptCount val="12"/>
                <c:pt idx="0">
                  <c:v>0.1883</c:v>
                </c:pt>
                <c:pt idx="1">
                  <c:v>0.1957</c:v>
                </c:pt>
                <c:pt idx="2">
                  <c:v>0.2085</c:v>
                </c:pt>
                <c:pt idx="3">
                  <c:v>0.1935</c:v>
                </c:pt>
                <c:pt idx="4">
                  <c:v>0.2134</c:v>
                </c:pt>
                <c:pt idx="5">
                  <c:v>0.2021</c:v>
                </c:pt>
                <c:pt idx="6">
                  <c:v>0.2214</c:v>
                </c:pt>
                <c:pt idx="7">
                  <c:v>0.2123</c:v>
                </c:pt>
                <c:pt idx="8">
                  <c:v>0.2235</c:v>
                </c:pt>
                <c:pt idx="9">
                  <c:v>0.211</c:v>
                </c:pt>
                <c:pt idx="10">
                  <c:v>0.2173</c:v>
                </c:pt>
                <c:pt idx="11">
                  <c:v>0.2059</c:v>
                </c:pt>
              </c:numCache>
            </c:numRef>
          </c:val>
        </c:ser>
        <c:marker val="1"/>
        <c:axId val="50020001"/>
        <c:axId val="50020002"/>
      </c:line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0.0%" sourceLinked="0"/>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18</xdr:col>
      <xdr:colOff>457200</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21</xdr:row>
      <xdr:rowOff>0</xdr:rowOff>
    </xdr:from>
    <xdr:to>
      <xdr:col>18</xdr:col>
      <xdr:colOff>457200</xdr:colOff>
      <xdr:row>36</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2:H25"/>
  <sheetViews>
    <sheetView showGridLines="0" tabSelected="1" workbookViewId="0"/>
  </sheetViews>
  <sheetFormatPr defaultRowHeight="15"/>
  <cols>
    <col min="2" max="2" width="24.7109375" customWidth="1"/>
    <col min="3" max="8" width="26.7109375" customWidth="1"/>
  </cols>
  <sheetData>
    <row r="2" spans="2:8">
      <c r="B2" s="1" t="s">
        <v>0</v>
      </c>
      <c r="C2" s="1"/>
      <c r="D2" s="1"/>
      <c r="E2" s="1"/>
      <c r="F2" s="1"/>
      <c r="G2" s="1"/>
      <c r="H2" s="1"/>
    </row>
    <row r="4" spans="2:8">
      <c r="B4" s="2" t="s">
        <v>1</v>
      </c>
      <c r="C4" s="3" t="s">
        <v>2</v>
      </c>
    </row>
    <row r="5" spans="2:8">
      <c r="B5" s="2" t="s">
        <v>3</v>
      </c>
      <c r="C5" s="3" t="s">
        <v>4</v>
      </c>
    </row>
    <row r="6" spans="2:8">
      <c r="B6" s="2" t="s">
        <v>5</v>
      </c>
      <c r="C6" s="3" t="s">
        <v>6</v>
      </c>
    </row>
    <row r="7" spans="2:8">
      <c r="B7" s="2" t="s">
        <v>7</v>
      </c>
      <c r="C7" s="3" t="s">
        <v>8</v>
      </c>
    </row>
    <row r="8" spans="2:8">
      <c r="B8" s="2" t="s">
        <v>9</v>
      </c>
      <c r="C8" s="3" t="s">
        <v>10</v>
      </c>
    </row>
    <row r="9" spans="2:8">
      <c r="B9" s="2" t="s">
        <v>11</v>
      </c>
      <c r="C9" s="3" t="s">
        <v>12</v>
      </c>
    </row>
    <row r="11" spans="2:8">
      <c r="B11" s="2" t="s">
        <v>13</v>
      </c>
    </row>
    <row r="12" spans="2:8">
      <c r="B12" s="3" t="s">
        <v>14</v>
      </c>
      <c r="C12" s="3"/>
      <c r="D12" s="3"/>
      <c r="E12" s="3"/>
      <c r="F12" s="3"/>
      <c r="G12" s="3"/>
      <c r="H12" s="3"/>
    </row>
    <row r="13" spans="2:8">
      <c r="B13" s="3"/>
      <c r="C13" s="3"/>
      <c r="D13" s="3"/>
      <c r="E13" s="3"/>
      <c r="F13" s="3"/>
      <c r="G13" s="3"/>
      <c r="H13" s="3"/>
    </row>
    <row r="14" spans="2:8">
      <c r="B14" s="3"/>
      <c r="C14" s="3"/>
      <c r="D14" s="3"/>
      <c r="E14" s="3"/>
      <c r="F14" s="3"/>
      <c r="G14" s="3"/>
      <c r="H14" s="3"/>
    </row>
    <row r="15" spans="2:8">
      <c r="B15" s="3"/>
      <c r="C15" s="3"/>
      <c r="D15" s="3"/>
      <c r="E15" s="3"/>
      <c r="F15" s="3"/>
      <c r="G15" s="3"/>
      <c r="H15" s="3"/>
    </row>
    <row r="17" spans="2:3">
      <c r="B17" s="2" t="s">
        <v>15</v>
      </c>
    </row>
    <row r="19" spans="2:3">
      <c r="B19" s="3" t="s">
        <v>16</v>
      </c>
      <c r="C19" s="3" t="s">
        <v>17</v>
      </c>
    </row>
    <row r="20" spans="2:3">
      <c r="B20" s="3" t="s">
        <v>18</v>
      </c>
      <c r="C20" s="3" t="s">
        <v>19</v>
      </c>
    </row>
    <row r="21" spans="2:3">
      <c r="B21" s="3" t="s">
        <v>20</v>
      </c>
      <c r="C21" s="3" t="s">
        <v>21</v>
      </c>
    </row>
    <row r="22" spans="2:3">
      <c r="B22" s="3" t="s">
        <v>22</v>
      </c>
      <c r="C22" s="3" t="s">
        <v>23</v>
      </c>
    </row>
    <row r="23" spans="2:3">
      <c r="B23" s="3" t="s">
        <v>24</v>
      </c>
      <c r="C23" s="3" t="s">
        <v>25</v>
      </c>
    </row>
    <row r="24" spans="2:3">
      <c r="B24" s="3" t="s">
        <v>26</v>
      </c>
      <c r="C24" s="3" t="s">
        <v>27</v>
      </c>
    </row>
    <row r="25" spans="2:3">
      <c r="B25" s="3" t="s">
        <v>28</v>
      </c>
      <c r="C25" s="3" t="s">
        <v>29</v>
      </c>
    </row>
  </sheetData>
  <mergeCells count="2">
    <mergeCell ref="B2:H2"/>
    <mergeCell ref="B12:H1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9"/>
  <sheetViews>
    <sheetView showGridLines="0" workbookViewId="0"/>
  </sheetViews>
  <sheetFormatPr defaultRowHeight="15"/>
  <cols>
    <col min="1" max="1" width="36.7109375" customWidth="1"/>
    <col min="2" max="2" width="28.7109375" customWidth="1"/>
  </cols>
  <sheetData>
    <row r="1" spans="1:2">
      <c r="A1" s="1" t="s">
        <v>77</v>
      </c>
      <c r="B1" s="1"/>
    </row>
    <row r="3" spans="1:2" s="4" customFormat="1" ht="30" customHeight="1">
      <c r="A3" s="4" t="s">
        <v>30</v>
      </c>
      <c r="B3" s="4" t="s">
        <v>31</v>
      </c>
    </row>
    <row r="4" spans="1:2">
      <c r="A4" t="s">
        <v>3</v>
      </c>
      <c r="B4" t="s">
        <v>4</v>
      </c>
    </row>
    <row r="5" spans="1:2">
      <c r="A5" t="s">
        <v>5</v>
      </c>
      <c r="B5" t="s">
        <v>6</v>
      </c>
    </row>
    <row r="6" spans="1:2">
      <c r="A6" t="s">
        <v>7</v>
      </c>
      <c r="B6" t="s">
        <v>8</v>
      </c>
    </row>
    <row r="7" spans="1:2">
      <c r="A7" t="s">
        <v>32</v>
      </c>
      <c r="B7" t="s">
        <v>55</v>
      </c>
    </row>
    <row r="8" spans="1:2">
      <c r="A8" t="s">
        <v>33</v>
      </c>
      <c r="B8" t="s">
        <v>56</v>
      </c>
    </row>
    <row r="9" spans="1:2">
      <c r="A9" t="s">
        <v>34</v>
      </c>
      <c r="B9" t="s">
        <v>57</v>
      </c>
    </row>
    <row r="10" spans="1:2">
      <c r="A10" t="s">
        <v>35</v>
      </c>
      <c r="B10" t="s">
        <v>58</v>
      </c>
    </row>
    <row r="11" spans="1:2">
      <c r="A11" t="s">
        <v>36</v>
      </c>
      <c r="B11" t="s">
        <v>59</v>
      </c>
    </row>
    <row r="12" spans="1:2">
      <c r="A12" t="s">
        <v>37</v>
      </c>
      <c r="B12" t="s">
        <v>60</v>
      </c>
    </row>
    <row r="13" spans="1:2">
      <c r="A13" t="s">
        <v>38</v>
      </c>
      <c r="B13" t="s">
        <v>61</v>
      </c>
    </row>
    <row r="14" spans="1:2">
      <c r="A14" t="s">
        <v>39</v>
      </c>
      <c r="B14" t="s">
        <v>62</v>
      </c>
    </row>
    <row r="15" spans="1:2">
      <c r="A15" t="s">
        <v>40</v>
      </c>
      <c r="B15" t="s">
        <v>63</v>
      </c>
    </row>
    <row r="16" spans="1:2">
      <c r="A16" t="s">
        <v>41</v>
      </c>
      <c r="B16" t="s">
        <v>64</v>
      </c>
    </row>
    <row r="17" spans="1:2">
      <c r="A17" t="s">
        <v>42</v>
      </c>
      <c r="B17" t="s">
        <v>65</v>
      </c>
    </row>
    <row r="18" spans="1:2">
      <c r="A18" t="s">
        <v>43</v>
      </c>
      <c r="B18" t="s">
        <v>66</v>
      </c>
    </row>
    <row r="19" spans="1:2">
      <c r="A19" t="s">
        <v>44</v>
      </c>
      <c r="B19" t="s">
        <v>67</v>
      </c>
    </row>
    <row r="20" spans="1:2">
      <c r="A20" t="s">
        <v>45</v>
      </c>
      <c r="B20" t="s">
        <v>68</v>
      </c>
    </row>
    <row r="21" spans="1:2">
      <c r="A21" t="s">
        <v>46</v>
      </c>
      <c r="B21" t="s">
        <v>69</v>
      </c>
    </row>
    <row r="22" spans="1:2">
      <c r="A22" t="s">
        <v>47</v>
      </c>
      <c r="B22" t="s">
        <v>70</v>
      </c>
    </row>
    <row r="23" spans="1:2">
      <c r="A23" t="s">
        <v>48</v>
      </c>
      <c r="B23" t="s">
        <v>71</v>
      </c>
    </row>
    <row r="24" spans="1:2">
      <c r="A24" t="s">
        <v>49</v>
      </c>
      <c r="B24" t="s">
        <v>72</v>
      </c>
    </row>
    <row r="25" spans="1:2">
      <c r="A25" t="s">
        <v>50</v>
      </c>
      <c r="B25" t="s">
        <v>73</v>
      </c>
    </row>
    <row r="26" spans="1:2">
      <c r="A26" t="s">
        <v>51</v>
      </c>
      <c r="B26" t="s">
        <v>56</v>
      </c>
    </row>
    <row r="27" spans="1:2">
      <c r="A27" t="s">
        <v>52</v>
      </c>
      <c r="B27" t="s">
        <v>74</v>
      </c>
    </row>
    <row r="28" spans="1:2">
      <c r="A28" t="s">
        <v>53</v>
      </c>
      <c r="B28" t="s">
        <v>75</v>
      </c>
    </row>
    <row r="29" spans="1:2">
      <c r="A29" t="s">
        <v>54</v>
      </c>
      <c r="B29" t="s">
        <v>76</v>
      </c>
    </row>
  </sheetData>
  <mergeCells count="1">
    <mergeCell ref="A1:B1"/>
  </mergeCells>
  <conditionalFormatting sqref="B1:B200">
    <cfRule type="notContainsErrors" dxfId="0" priority="1">
      <formula>NOT(ISERROR(B1))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8"/>
  <sheetViews>
    <sheetView showGridLines="0" workbookViewId="0">
      <pane ySplit="3" topLeftCell="A4" activePane="bottomLeft" state="frozen"/>
      <selection pane="bottomLeft"/>
    </sheetView>
  </sheetViews>
  <sheetFormatPr defaultRowHeight="15"/>
  <cols>
    <col min="1" max="1" width="13.7109375" customWidth="1"/>
    <col min="2" max="2" width="34.7109375" customWidth="1"/>
    <col min="3" max="3" width="24.7109375" customWidth="1"/>
    <col min="4" max="4" width="18.7109375" style="5" customWidth="1"/>
    <col min="5" max="5" width="14.7109375" style="6" customWidth="1"/>
    <col min="6" max="6" width="17.7109375" customWidth="1"/>
    <col min="7" max="7" width="28.7109375" customWidth="1"/>
    <col min="8" max="8" width="14.7109375" style="6" customWidth="1"/>
    <col min="9" max="11" width="18.7109375" style="5" customWidth="1"/>
    <col min="12" max="12" width="14.7109375" style="6" customWidth="1"/>
  </cols>
  <sheetData>
    <row r="1" spans="1:12">
      <c r="A1" s="1" t="s">
        <v>137</v>
      </c>
      <c r="B1" s="1"/>
      <c r="C1" s="1"/>
      <c r="D1" s="1"/>
      <c r="E1" s="1"/>
      <c r="F1" s="1"/>
      <c r="G1" s="1"/>
      <c r="H1" s="1"/>
      <c r="I1" s="1"/>
      <c r="J1" s="1"/>
      <c r="K1" s="1"/>
      <c r="L1" s="1"/>
    </row>
    <row r="3" spans="1:12" s="4" customFormat="1" ht="34" customHeight="1">
      <c r="A3" s="4" t="s">
        <v>78</v>
      </c>
      <c r="B3" s="4" t="s">
        <v>79</v>
      </c>
      <c r="C3" s="4" t="s">
        <v>80</v>
      </c>
      <c r="D3" s="4" t="s">
        <v>81</v>
      </c>
      <c r="E3" s="4" t="s">
        <v>82</v>
      </c>
      <c r="F3" s="4" t="s">
        <v>83</v>
      </c>
      <c r="G3" s="4" t="s">
        <v>84</v>
      </c>
      <c r="H3" s="4" t="s">
        <v>85</v>
      </c>
      <c r="I3" s="4" t="s">
        <v>86</v>
      </c>
      <c r="J3" s="4" t="s">
        <v>87</v>
      </c>
      <c r="K3" s="4" t="s">
        <v>88</v>
      </c>
      <c r="L3" s="4" t="s">
        <v>89</v>
      </c>
    </row>
    <row r="4" spans="1:12">
      <c r="A4" t="s">
        <v>90</v>
      </c>
      <c r="B4" t="s">
        <v>105</v>
      </c>
      <c r="C4" t="s">
        <v>120</v>
      </c>
      <c r="D4" s="5">
        <v>180000000</v>
      </c>
      <c r="E4" s="6">
        <v>0.45</v>
      </c>
      <c r="F4" t="s">
        <v>128</v>
      </c>
      <c r="G4" t="s">
        <v>135</v>
      </c>
      <c r="H4" s="6">
        <v>0.9</v>
      </c>
      <c r="I4" s="5">
        <v>81000000</v>
      </c>
      <c r="J4" s="5">
        <v>99000000</v>
      </c>
      <c r="K4" s="5">
        <v>89100000</v>
      </c>
      <c r="L4" s="6">
        <v>0.15</v>
      </c>
    </row>
    <row r="5" spans="1:12">
      <c r="A5" t="s">
        <v>91</v>
      </c>
      <c r="B5" t="s">
        <v>106</v>
      </c>
      <c r="C5" t="s">
        <v>121</v>
      </c>
      <c r="D5" s="5">
        <v>155000000</v>
      </c>
      <c r="E5" s="6">
        <v>0.45</v>
      </c>
      <c r="F5" t="s">
        <v>128</v>
      </c>
      <c r="G5" t="s">
        <v>135</v>
      </c>
      <c r="H5" s="6">
        <v>0.9</v>
      </c>
      <c r="I5" s="5">
        <v>69750000</v>
      </c>
      <c r="J5" s="5">
        <v>85250000</v>
      </c>
      <c r="K5" s="5">
        <v>76725000</v>
      </c>
      <c r="L5" s="6">
        <v>0.1292</v>
      </c>
    </row>
    <row r="6" spans="1:12">
      <c r="A6" t="s">
        <v>92</v>
      </c>
      <c r="B6" t="s">
        <v>107</v>
      </c>
      <c r="C6" t="s">
        <v>120</v>
      </c>
      <c r="D6" s="5">
        <v>135000000</v>
      </c>
      <c r="E6" s="6">
        <v>0.45</v>
      </c>
      <c r="F6" t="s">
        <v>128</v>
      </c>
      <c r="G6" t="s">
        <v>135</v>
      </c>
      <c r="H6" s="6">
        <v>0.9</v>
      </c>
      <c r="I6" s="5">
        <v>60750000</v>
      </c>
      <c r="J6" s="5">
        <v>74250000</v>
      </c>
      <c r="K6" s="5">
        <v>66825000</v>
      </c>
      <c r="L6" s="6">
        <v>0.1125</v>
      </c>
    </row>
    <row r="7" spans="1:12">
      <c r="A7" t="s">
        <v>93</v>
      </c>
      <c r="B7" t="s">
        <v>108</v>
      </c>
      <c r="C7" t="s">
        <v>122</v>
      </c>
      <c r="D7" s="5">
        <v>120000000</v>
      </c>
      <c r="E7" s="6">
        <v>0.45</v>
      </c>
      <c r="F7" t="s">
        <v>129</v>
      </c>
      <c r="G7" t="s">
        <v>135</v>
      </c>
      <c r="H7" s="6">
        <v>0.8</v>
      </c>
      <c r="I7" s="5">
        <v>54000000</v>
      </c>
      <c r="J7" s="5">
        <v>66000000</v>
      </c>
      <c r="K7" s="5">
        <v>52800000</v>
      </c>
      <c r="L7" s="6">
        <v>0.1</v>
      </c>
    </row>
    <row r="8" spans="1:12">
      <c r="A8" t="s">
        <v>94</v>
      </c>
      <c r="B8" t="s">
        <v>109</v>
      </c>
      <c r="C8" t="s">
        <v>123</v>
      </c>
      <c r="D8" s="5">
        <v>95000000</v>
      </c>
      <c r="E8" s="6">
        <v>0.45</v>
      </c>
      <c r="F8" t="s">
        <v>129</v>
      </c>
      <c r="G8" t="s">
        <v>135</v>
      </c>
      <c r="H8" s="6">
        <v>0.75</v>
      </c>
      <c r="I8" s="5">
        <v>42750000</v>
      </c>
      <c r="J8" s="5">
        <v>52250000</v>
      </c>
      <c r="K8" s="5">
        <v>39187500</v>
      </c>
      <c r="L8" s="6">
        <v>0.07920000000000001</v>
      </c>
    </row>
    <row r="9" spans="1:12">
      <c r="A9" t="s">
        <v>95</v>
      </c>
      <c r="B9" t="s">
        <v>110</v>
      </c>
      <c r="C9" t="s">
        <v>123</v>
      </c>
      <c r="D9" s="5">
        <v>85000000</v>
      </c>
      <c r="E9" s="6">
        <v>0.45</v>
      </c>
      <c r="F9" t="s">
        <v>130</v>
      </c>
      <c r="G9" t="s">
        <v>135</v>
      </c>
      <c r="H9" s="6">
        <v>0.75</v>
      </c>
      <c r="I9" s="5">
        <v>38250000</v>
      </c>
      <c r="J9" s="5">
        <v>46750000</v>
      </c>
      <c r="K9" s="5">
        <v>35062500</v>
      </c>
      <c r="L9" s="6">
        <v>0.0708</v>
      </c>
    </row>
    <row r="10" spans="1:12">
      <c r="A10" t="s">
        <v>96</v>
      </c>
      <c r="B10" t="s">
        <v>111</v>
      </c>
      <c r="C10" t="s">
        <v>124</v>
      </c>
      <c r="D10" s="5">
        <v>80000000</v>
      </c>
      <c r="E10" s="6">
        <v>0.45</v>
      </c>
      <c r="F10" t="s">
        <v>131</v>
      </c>
      <c r="G10" t="s">
        <v>135</v>
      </c>
      <c r="H10" s="6">
        <v>0.65</v>
      </c>
      <c r="I10" s="5">
        <v>36000000</v>
      </c>
      <c r="J10" s="5">
        <v>44000000</v>
      </c>
      <c r="K10" s="5">
        <v>28600000</v>
      </c>
      <c r="L10" s="6">
        <v>0.0667</v>
      </c>
    </row>
    <row r="11" spans="1:12">
      <c r="A11" t="s">
        <v>97</v>
      </c>
      <c r="B11" t="s">
        <v>112</v>
      </c>
      <c r="C11" t="s">
        <v>124</v>
      </c>
      <c r="D11" s="5">
        <v>75000000</v>
      </c>
      <c r="E11" s="6">
        <v>0.45</v>
      </c>
      <c r="F11" t="s">
        <v>131</v>
      </c>
      <c r="G11" t="s">
        <v>135</v>
      </c>
      <c r="H11" s="6">
        <v>0.65</v>
      </c>
      <c r="I11" s="5">
        <v>33750000</v>
      </c>
      <c r="J11" s="5">
        <v>41250000</v>
      </c>
      <c r="K11" s="5">
        <v>26812500</v>
      </c>
      <c r="L11" s="6">
        <v>0.0625</v>
      </c>
    </row>
    <row r="12" spans="1:12">
      <c r="A12" t="s">
        <v>98</v>
      </c>
      <c r="B12" t="s">
        <v>113</v>
      </c>
      <c r="C12" t="s">
        <v>125</v>
      </c>
      <c r="D12" s="5">
        <v>60000000</v>
      </c>
      <c r="E12" s="6">
        <v>0.45</v>
      </c>
      <c r="F12" t="s">
        <v>132</v>
      </c>
      <c r="G12" t="s">
        <v>135</v>
      </c>
      <c r="H12" s="6">
        <v>0.5</v>
      </c>
      <c r="I12" s="5">
        <v>27000000</v>
      </c>
      <c r="J12" s="5">
        <v>33000000</v>
      </c>
      <c r="K12" s="5">
        <v>16500000</v>
      </c>
      <c r="L12" s="6">
        <v>0.05</v>
      </c>
    </row>
    <row r="13" spans="1:12">
      <c r="A13" t="s">
        <v>99</v>
      </c>
      <c r="B13" t="s">
        <v>114</v>
      </c>
      <c r="C13" t="s">
        <v>125</v>
      </c>
      <c r="D13" s="5">
        <v>50000000</v>
      </c>
      <c r="E13" s="6">
        <v>0.45</v>
      </c>
      <c r="F13" t="s">
        <v>132</v>
      </c>
      <c r="G13" t="s">
        <v>135</v>
      </c>
      <c r="H13" s="6">
        <v>0.5</v>
      </c>
      <c r="I13" s="5">
        <v>22500000</v>
      </c>
      <c r="J13" s="5">
        <v>27500000</v>
      </c>
      <c r="K13" s="5">
        <v>13750000</v>
      </c>
      <c r="L13" s="6">
        <v>0.0417</v>
      </c>
    </row>
    <row r="14" spans="1:12">
      <c r="A14" t="s">
        <v>100</v>
      </c>
      <c r="B14" t="s">
        <v>115</v>
      </c>
      <c r="C14" t="s">
        <v>126</v>
      </c>
      <c r="D14" s="5">
        <v>45000000</v>
      </c>
      <c r="E14" s="6">
        <v>0.45</v>
      </c>
      <c r="F14" t="s">
        <v>133</v>
      </c>
      <c r="G14" t="s">
        <v>136</v>
      </c>
      <c r="H14" s="6">
        <v>0</v>
      </c>
      <c r="I14" s="5">
        <v>20250000</v>
      </c>
      <c r="J14" s="5">
        <v>24750000</v>
      </c>
      <c r="K14" s="5">
        <v>0</v>
      </c>
      <c r="L14" s="6">
        <v>0.0375</v>
      </c>
    </row>
    <row r="15" spans="1:12">
      <c r="A15" t="s">
        <v>101</v>
      </c>
      <c r="B15" t="s">
        <v>116</v>
      </c>
      <c r="C15" t="s">
        <v>125</v>
      </c>
      <c r="D15" s="5">
        <v>40000000</v>
      </c>
      <c r="E15" s="6">
        <v>0.45</v>
      </c>
      <c r="F15" t="s">
        <v>134</v>
      </c>
      <c r="G15" t="s">
        <v>135</v>
      </c>
      <c r="H15" s="6">
        <v>0.5</v>
      </c>
      <c r="I15" s="5">
        <v>18000000</v>
      </c>
      <c r="J15" s="5">
        <v>22000000</v>
      </c>
      <c r="K15" s="5">
        <v>11000000</v>
      </c>
      <c r="L15" s="6">
        <v>0.0333</v>
      </c>
    </row>
    <row r="16" spans="1:12">
      <c r="A16" t="s">
        <v>102</v>
      </c>
      <c r="B16" t="s">
        <v>117</v>
      </c>
      <c r="C16" t="s">
        <v>122</v>
      </c>
      <c r="D16" s="5">
        <v>35000000</v>
      </c>
      <c r="E16" s="6">
        <v>0.45</v>
      </c>
      <c r="F16" t="s">
        <v>129</v>
      </c>
      <c r="G16" t="s">
        <v>135</v>
      </c>
      <c r="H16" s="6">
        <v>0.8</v>
      </c>
      <c r="I16" s="5">
        <v>15750000</v>
      </c>
      <c r="J16" s="5">
        <v>19250000</v>
      </c>
      <c r="K16" s="5">
        <v>15400000</v>
      </c>
      <c r="L16" s="6">
        <v>0.0292</v>
      </c>
    </row>
    <row r="17" spans="1:12">
      <c r="A17" t="s">
        <v>103</v>
      </c>
      <c r="B17" t="s">
        <v>118</v>
      </c>
      <c r="C17" t="s">
        <v>123</v>
      </c>
      <c r="D17" s="5">
        <v>30000000</v>
      </c>
      <c r="E17" s="6">
        <v>0.45</v>
      </c>
      <c r="F17" t="s">
        <v>130</v>
      </c>
      <c r="G17" t="s">
        <v>135</v>
      </c>
      <c r="H17" s="6">
        <v>0.75</v>
      </c>
      <c r="I17" s="5">
        <v>13500000</v>
      </c>
      <c r="J17" s="5">
        <v>16500000</v>
      </c>
      <c r="K17" s="5">
        <v>12375000</v>
      </c>
      <c r="L17" s="6">
        <v>0.025</v>
      </c>
    </row>
    <row r="18" spans="1:12">
      <c r="A18" t="s">
        <v>104</v>
      </c>
      <c r="B18" t="s">
        <v>119</v>
      </c>
      <c r="C18" t="s">
        <v>127</v>
      </c>
      <c r="D18" s="5">
        <v>15000000</v>
      </c>
      <c r="E18" s="6">
        <v>0.45</v>
      </c>
      <c r="F18" t="s">
        <v>133</v>
      </c>
      <c r="G18" t="s">
        <v>136</v>
      </c>
      <c r="H18" s="6">
        <v>0</v>
      </c>
      <c r="I18" s="5">
        <v>6750000</v>
      </c>
      <c r="J18" s="5">
        <v>8250000</v>
      </c>
      <c r="K18" s="5">
        <v>0</v>
      </c>
      <c r="L18" s="6">
        <v>0.0125</v>
      </c>
    </row>
  </sheetData>
  <autoFilter ref="A3:L18"/>
  <mergeCells count="1">
    <mergeCell ref="A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8"/>
  <sheetViews>
    <sheetView showGridLines="0" workbookViewId="0"/>
  </sheetViews>
  <sheetFormatPr defaultRowHeight="15"/>
  <cols>
    <col min="1" max="1" width="28.7109375" customWidth="1"/>
    <col min="2" max="5" width="18.7109375" style="5" customWidth="1"/>
    <col min="6" max="6" width="14.7109375" customWidth="1"/>
    <col min="7" max="8" width="16.7109375" style="6" customWidth="1"/>
  </cols>
  <sheetData>
    <row r="1" spans="1:8">
      <c r="A1" s="1" t="s">
        <v>148</v>
      </c>
      <c r="B1" s="1"/>
      <c r="C1" s="1"/>
      <c r="D1" s="1"/>
      <c r="E1" s="1"/>
      <c r="F1" s="1"/>
      <c r="G1" s="1"/>
      <c r="H1" s="1"/>
    </row>
    <row r="3" spans="1:8" s="4" customFormat="1" ht="30" customHeight="1">
      <c r="A3" s="4" t="s">
        <v>80</v>
      </c>
      <c r="B3" s="4" t="s">
        <v>81</v>
      </c>
      <c r="C3" s="4" t="s">
        <v>86</v>
      </c>
      <c r="D3" s="4" t="s">
        <v>87</v>
      </c>
      <c r="E3" s="4" t="s">
        <v>88</v>
      </c>
      <c r="F3" s="4" t="s">
        <v>138</v>
      </c>
      <c r="G3" s="4" t="s">
        <v>89</v>
      </c>
      <c r="H3" s="4" t="s">
        <v>139</v>
      </c>
    </row>
    <row r="4" spans="1:8">
      <c r="A4" t="s">
        <v>120</v>
      </c>
      <c r="B4" s="5">
        <v>315000000</v>
      </c>
      <c r="C4" s="5">
        <v>141750000</v>
      </c>
      <c r="D4" s="5">
        <v>173250000</v>
      </c>
      <c r="E4" s="5">
        <v>155925000</v>
      </c>
      <c r="F4">
        <v>2</v>
      </c>
      <c r="G4" s="6">
        <v>0.2625</v>
      </c>
      <c r="H4" s="6">
        <v>0.9</v>
      </c>
    </row>
    <row r="5" spans="1:8">
      <c r="A5" t="s">
        <v>123</v>
      </c>
      <c r="B5" s="5">
        <v>210000000</v>
      </c>
      <c r="C5" s="5">
        <v>94500000</v>
      </c>
      <c r="D5" s="5">
        <v>115500000</v>
      </c>
      <c r="E5" s="5">
        <v>86625000</v>
      </c>
      <c r="F5">
        <v>3</v>
      </c>
      <c r="G5" s="6">
        <v>0.175</v>
      </c>
      <c r="H5" s="6">
        <v>0.75</v>
      </c>
    </row>
    <row r="6" spans="1:8">
      <c r="A6" t="s">
        <v>122</v>
      </c>
      <c r="B6" s="5">
        <v>155000000</v>
      </c>
      <c r="C6" s="5">
        <v>69750000</v>
      </c>
      <c r="D6" s="5">
        <v>85250000</v>
      </c>
      <c r="E6" s="5">
        <v>68200000</v>
      </c>
      <c r="F6">
        <v>2</v>
      </c>
      <c r="G6" s="6">
        <v>0.1291666666666666</v>
      </c>
      <c r="H6" s="6">
        <v>0.8</v>
      </c>
    </row>
    <row r="7" spans="1:8">
      <c r="A7" t="s">
        <v>124</v>
      </c>
      <c r="B7" s="5">
        <v>155000000</v>
      </c>
      <c r="C7" s="5">
        <v>69750000</v>
      </c>
      <c r="D7" s="5">
        <v>85250000</v>
      </c>
      <c r="E7" s="5">
        <v>55412500</v>
      </c>
      <c r="F7">
        <v>2</v>
      </c>
      <c r="G7" s="6">
        <v>0.1291666666666666</v>
      </c>
      <c r="H7" s="6">
        <v>0.65</v>
      </c>
    </row>
    <row r="8" spans="1:8">
      <c r="A8" t="s">
        <v>121</v>
      </c>
      <c r="B8" s="5">
        <v>155000000</v>
      </c>
      <c r="C8" s="5">
        <v>69750000</v>
      </c>
      <c r="D8" s="5">
        <v>85250000</v>
      </c>
      <c r="E8" s="5">
        <v>76725000</v>
      </c>
      <c r="F8">
        <v>1</v>
      </c>
      <c r="G8" s="6">
        <v>0.1291666666666666</v>
      </c>
      <c r="H8" s="6">
        <v>0.9</v>
      </c>
    </row>
    <row r="9" spans="1:8">
      <c r="A9" t="s">
        <v>125</v>
      </c>
      <c r="B9" s="5">
        <v>150000000</v>
      </c>
      <c r="C9" s="5">
        <v>67500000</v>
      </c>
      <c r="D9" s="5">
        <v>82500000</v>
      </c>
      <c r="E9" s="5">
        <v>41250000</v>
      </c>
      <c r="F9">
        <v>3</v>
      </c>
      <c r="G9" s="6">
        <v>0.125</v>
      </c>
      <c r="H9" s="6">
        <v>0.5</v>
      </c>
    </row>
    <row r="10" spans="1:8">
      <c r="A10" t="s">
        <v>126</v>
      </c>
      <c r="B10" s="5">
        <v>45000000</v>
      </c>
      <c r="C10" s="5">
        <v>20250000</v>
      </c>
      <c r="D10" s="5">
        <v>24750000</v>
      </c>
      <c r="E10" s="5">
        <v>0</v>
      </c>
      <c r="F10">
        <v>1</v>
      </c>
      <c r="G10" s="6">
        <v>0.0375</v>
      </c>
      <c r="H10" s="6">
        <v>0</v>
      </c>
    </row>
    <row r="11" spans="1:8">
      <c r="A11" t="s">
        <v>127</v>
      </c>
      <c r="B11" s="5">
        <v>15000000</v>
      </c>
      <c r="C11" s="5">
        <v>6750000</v>
      </c>
      <c r="D11" s="5">
        <v>8250000</v>
      </c>
      <c r="E11" s="5">
        <v>0</v>
      </c>
      <c r="F11">
        <v>1</v>
      </c>
      <c r="G11" s="6">
        <v>0.0125</v>
      </c>
      <c r="H11" s="6">
        <v>0</v>
      </c>
    </row>
    <row r="14" spans="1:8">
      <c r="A14" s="2" t="s">
        <v>149</v>
      </c>
      <c r="B14" s="2"/>
      <c r="C14" s="2"/>
      <c r="D14" s="2"/>
    </row>
    <row r="15" spans="1:8" s="4" customFormat="1" ht="30" customHeight="1">
      <c r="A15" s="4" t="s">
        <v>140</v>
      </c>
      <c r="B15" s="4" t="s">
        <v>141</v>
      </c>
      <c r="C15" s="4" t="s">
        <v>142</v>
      </c>
      <c r="D15" s="4" t="s">
        <v>143</v>
      </c>
    </row>
    <row r="16" spans="1:8">
      <c r="A16" t="s">
        <v>144</v>
      </c>
      <c r="B16" s="5">
        <v>0.15</v>
      </c>
      <c r="C16" s="5">
        <v>0.2</v>
      </c>
      <c r="D16" s="5" t="s">
        <v>147</v>
      </c>
    </row>
    <row r="17" spans="1:4">
      <c r="A17" t="s">
        <v>145</v>
      </c>
      <c r="B17" s="5">
        <v>0.5708333333333333</v>
      </c>
      <c r="C17" s="5">
        <v>0.65</v>
      </c>
      <c r="D17" s="5" t="s">
        <v>147</v>
      </c>
    </row>
    <row r="18" spans="1:4">
      <c r="A18" t="s">
        <v>146</v>
      </c>
      <c r="B18" s="5">
        <v>0.0375</v>
      </c>
      <c r="C18" s="5">
        <v>0.05</v>
      </c>
      <c r="D18" s="5" t="s">
        <v>147</v>
      </c>
    </row>
  </sheetData>
  <mergeCells count="2">
    <mergeCell ref="A1:H1"/>
    <mergeCell ref="A14:D1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21"/>
  <sheetViews>
    <sheetView showGridLines="0" workbookViewId="0">
      <pane ySplit="3" topLeftCell="A4" activePane="bottomLeft" state="frozen"/>
      <selection pane="bottomLeft"/>
    </sheetView>
  </sheetViews>
  <sheetFormatPr defaultRowHeight="15"/>
  <cols>
    <col min="1" max="1" width="13.7109375" customWidth="1"/>
    <col min="2" max="2" width="34.7109375" customWidth="1"/>
    <col min="3" max="3" width="27.7109375" customWidth="1"/>
    <col min="4" max="4" width="21.7109375" customWidth="1"/>
    <col min="5" max="5" width="18.7109375" style="5" customWidth="1"/>
    <col min="6" max="6" width="14.7109375" style="6" customWidth="1"/>
    <col min="7" max="7" width="12.7109375" customWidth="1"/>
    <col min="8" max="8" width="25.7109375" customWidth="1"/>
    <col min="9" max="9" width="14.7109375" style="6" customWidth="1"/>
    <col min="10" max="11" width="18.7109375" style="5" customWidth="1"/>
    <col min="12" max="12" width="14.7109375" style="6" customWidth="1"/>
  </cols>
  <sheetData>
    <row r="1" spans="1:12">
      <c r="A1" s="1" t="s">
        <v>219</v>
      </c>
      <c r="B1" s="1"/>
      <c r="C1" s="1"/>
      <c r="D1" s="1"/>
      <c r="E1" s="1"/>
      <c r="F1" s="1"/>
      <c r="G1" s="1"/>
      <c r="H1" s="1"/>
      <c r="I1" s="1"/>
      <c r="J1" s="1"/>
      <c r="K1" s="1"/>
      <c r="L1" s="1"/>
    </row>
    <row r="3" spans="1:12" s="4" customFormat="1" ht="34" customHeight="1">
      <c r="A3" s="4" t="s">
        <v>150</v>
      </c>
      <c r="B3" s="4" t="s">
        <v>151</v>
      </c>
      <c r="C3" s="4" t="s">
        <v>152</v>
      </c>
      <c r="D3" s="4" t="s">
        <v>153</v>
      </c>
      <c r="E3" s="4" t="s">
        <v>154</v>
      </c>
      <c r="F3" s="4" t="s">
        <v>155</v>
      </c>
      <c r="G3" s="4" t="s">
        <v>143</v>
      </c>
      <c r="H3" s="4" t="s">
        <v>156</v>
      </c>
      <c r="I3" s="4" t="s">
        <v>157</v>
      </c>
      <c r="J3" s="4" t="s">
        <v>158</v>
      </c>
      <c r="K3" s="4" t="s">
        <v>159</v>
      </c>
      <c r="L3" s="4" t="s">
        <v>160</v>
      </c>
    </row>
    <row r="4" spans="1:12">
      <c r="A4" t="s">
        <v>161</v>
      </c>
      <c r="B4" t="s">
        <v>179</v>
      </c>
      <c r="C4" t="s">
        <v>197</v>
      </c>
      <c r="D4" t="s">
        <v>214</v>
      </c>
      <c r="E4" s="5">
        <v>55000000</v>
      </c>
      <c r="F4" s="6">
        <v>0.96</v>
      </c>
      <c r="G4" t="s">
        <v>217</v>
      </c>
      <c r="H4" t="s">
        <v>135</v>
      </c>
      <c r="I4" s="6">
        <v>0.85</v>
      </c>
      <c r="J4" s="5">
        <v>52800000</v>
      </c>
      <c r="K4" s="5">
        <v>44880000</v>
      </c>
      <c r="L4" s="6">
        <v>0.083</v>
      </c>
    </row>
    <row r="5" spans="1:12">
      <c r="A5" t="s">
        <v>162</v>
      </c>
      <c r="B5" t="s">
        <v>180</v>
      </c>
      <c r="C5" t="s">
        <v>198</v>
      </c>
      <c r="D5" t="s">
        <v>214</v>
      </c>
      <c r="E5" s="5">
        <v>48000000</v>
      </c>
      <c r="F5" s="6">
        <v>0.98</v>
      </c>
      <c r="G5" t="s">
        <v>217</v>
      </c>
      <c r="H5" t="s">
        <v>135</v>
      </c>
      <c r="I5" s="6">
        <v>0.85</v>
      </c>
      <c r="J5" s="5">
        <v>47040000</v>
      </c>
      <c r="K5" s="5">
        <v>39984000</v>
      </c>
      <c r="L5" s="6">
        <v>0.074</v>
      </c>
    </row>
    <row r="6" spans="1:12">
      <c r="A6" t="s">
        <v>163</v>
      </c>
      <c r="B6" t="s">
        <v>181</v>
      </c>
      <c r="C6" t="s">
        <v>199</v>
      </c>
      <c r="D6" t="s">
        <v>215</v>
      </c>
      <c r="E6" s="5">
        <v>46000000</v>
      </c>
      <c r="F6" s="6">
        <v>0.9399999999999999</v>
      </c>
      <c r="G6" t="s">
        <v>217</v>
      </c>
      <c r="H6" t="s">
        <v>135</v>
      </c>
      <c r="I6" s="6">
        <v>0.75</v>
      </c>
      <c r="J6" s="5">
        <v>43240000</v>
      </c>
      <c r="K6" s="5">
        <v>32430000</v>
      </c>
      <c r="L6" s="6">
        <v>0.068</v>
      </c>
    </row>
    <row r="7" spans="1:12">
      <c r="A7" t="s">
        <v>164</v>
      </c>
      <c r="B7" t="s">
        <v>182</v>
      </c>
      <c r="C7" t="s">
        <v>200</v>
      </c>
      <c r="D7" t="s">
        <v>214</v>
      </c>
      <c r="E7" s="5">
        <v>44000000</v>
      </c>
      <c r="F7" s="6">
        <v>0.97</v>
      </c>
      <c r="G7" t="s">
        <v>217</v>
      </c>
      <c r="H7" t="s">
        <v>135</v>
      </c>
      <c r="I7" s="6">
        <v>0.85</v>
      </c>
      <c r="J7" s="5">
        <v>42680000</v>
      </c>
      <c r="K7" s="5">
        <v>36278000</v>
      </c>
      <c r="L7" s="6">
        <v>0.06710000000000001</v>
      </c>
    </row>
    <row r="8" spans="1:12">
      <c r="A8" t="s">
        <v>165</v>
      </c>
      <c r="B8" t="s">
        <v>183</v>
      </c>
      <c r="C8" t="s">
        <v>201</v>
      </c>
      <c r="D8" t="s">
        <v>214</v>
      </c>
      <c r="E8" s="5">
        <v>43000000</v>
      </c>
      <c r="F8" s="6">
        <v>0.99</v>
      </c>
      <c r="G8" t="s">
        <v>217</v>
      </c>
      <c r="H8" t="s">
        <v>135</v>
      </c>
      <c r="I8" s="6">
        <v>0.85</v>
      </c>
      <c r="J8" s="5">
        <v>42570000</v>
      </c>
      <c r="K8" s="5">
        <v>36184500</v>
      </c>
      <c r="L8" s="6">
        <v>0.0669</v>
      </c>
    </row>
    <row r="9" spans="1:12">
      <c r="A9" t="s">
        <v>166</v>
      </c>
      <c r="B9" t="s">
        <v>184</v>
      </c>
      <c r="C9" t="s">
        <v>202</v>
      </c>
      <c r="D9" t="s">
        <v>214</v>
      </c>
      <c r="E9" s="5">
        <v>42000000</v>
      </c>
      <c r="F9" s="6">
        <v>0.95</v>
      </c>
      <c r="G9" t="s">
        <v>217</v>
      </c>
      <c r="H9" t="s">
        <v>135</v>
      </c>
      <c r="I9" s="6">
        <v>0.85</v>
      </c>
      <c r="J9" s="5">
        <v>39900000</v>
      </c>
      <c r="K9" s="5">
        <v>33915000</v>
      </c>
      <c r="L9" s="6">
        <v>0.06270000000000001</v>
      </c>
    </row>
    <row r="10" spans="1:12">
      <c r="A10" t="s">
        <v>167</v>
      </c>
      <c r="B10" t="s">
        <v>185</v>
      </c>
      <c r="C10" t="s">
        <v>203</v>
      </c>
      <c r="D10" t="s">
        <v>215</v>
      </c>
      <c r="E10" s="5">
        <v>40000000</v>
      </c>
      <c r="F10" s="6">
        <v>0.93</v>
      </c>
      <c r="G10" t="s">
        <v>217</v>
      </c>
      <c r="H10" t="s">
        <v>135</v>
      </c>
      <c r="I10" s="6">
        <v>0.75</v>
      </c>
      <c r="J10" s="5">
        <v>37200000</v>
      </c>
      <c r="K10" s="5">
        <v>27900000</v>
      </c>
      <c r="L10" s="6">
        <v>0.0585</v>
      </c>
    </row>
    <row r="11" spans="1:12">
      <c r="A11" t="s">
        <v>168</v>
      </c>
      <c r="B11" t="s">
        <v>186</v>
      </c>
      <c r="C11" t="s">
        <v>204</v>
      </c>
      <c r="D11" t="s">
        <v>214</v>
      </c>
      <c r="E11" s="5">
        <v>39000000</v>
      </c>
      <c r="F11" s="6">
        <v>0.91</v>
      </c>
      <c r="G11" t="s">
        <v>218</v>
      </c>
      <c r="H11" t="s">
        <v>135</v>
      </c>
      <c r="I11" s="6">
        <v>0.65</v>
      </c>
      <c r="J11" s="5">
        <v>35490000</v>
      </c>
      <c r="K11" s="5">
        <v>23068500</v>
      </c>
      <c r="L11" s="6">
        <v>0.0558</v>
      </c>
    </row>
    <row r="12" spans="1:12">
      <c r="A12" t="s">
        <v>169</v>
      </c>
      <c r="B12" t="s">
        <v>187</v>
      </c>
      <c r="C12" t="s">
        <v>197</v>
      </c>
      <c r="D12" t="s">
        <v>214</v>
      </c>
      <c r="E12" s="5">
        <v>38000000</v>
      </c>
      <c r="F12" s="6">
        <v>0.98</v>
      </c>
      <c r="G12" t="s">
        <v>217</v>
      </c>
      <c r="H12" t="s">
        <v>135</v>
      </c>
      <c r="I12" s="6">
        <v>0.85</v>
      </c>
      <c r="J12" s="5">
        <v>37240000</v>
      </c>
      <c r="K12" s="5">
        <v>31654000</v>
      </c>
      <c r="L12" s="6">
        <v>0.0586</v>
      </c>
    </row>
    <row r="13" spans="1:12">
      <c r="A13" t="s">
        <v>170</v>
      </c>
      <c r="B13" t="s">
        <v>188</v>
      </c>
      <c r="C13" t="s">
        <v>205</v>
      </c>
      <c r="D13" t="s">
        <v>214</v>
      </c>
      <c r="E13" s="5">
        <v>37000000</v>
      </c>
      <c r="F13" s="6">
        <v>0.99</v>
      </c>
      <c r="G13" t="s">
        <v>217</v>
      </c>
      <c r="H13" t="s">
        <v>135</v>
      </c>
      <c r="I13" s="6">
        <v>0.85</v>
      </c>
      <c r="J13" s="5">
        <v>36630000</v>
      </c>
      <c r="K13" s="5">
        <v>31135500</v>
      </c>
      <c r="L13" s="6">
        <v>0.0576</v>
      </c>
    </row>
    <row r="14" spans="1:12">
      <c r="A14" t="s">
        <v>171</v>
      </c>
      <c r="B14" t="s">
        <v>189</v>
      </c>
      <c r="C14" t="s">
        <v>206</v>
      </c>
      <c r="D14" t="s">
        <v>215</v>
      </c>
      <c r="E14" s="5">
        <v>36000000</v>
      </c>
      <c r="F14" s="6">
        <v>0.92</v>
      </c>
      <c r="G14" t="s">
        <v>217</v>
      </c>
      <c r="H14" t="s">
        <v>135</v>
      </c>
      <c r="I14" s="6">
        <v>0.75</v>
      </c>
      <c r="J14" s="5">
        <v>33120000</v>
      </c>
      <c r="K14" s="5">
        <v>24840000</v>
      </c>
      <c r="L14" s="6">
        <v>0.0521</v>
      </c>
    </row>
    <row r="15" spans="1:12">
      <c r="A15" t="s">
        <v>172</v>
      </c>
      <c r="B15" t="s">
        <v>190</v>
      </c>
      <c r="C15" t="s">
        <v>207</v>
      </c>
      <c r="D15" t="s">
        <v>216</v>
      </c>
      <c r="E15" s="5">
        <v>34000000</v>
      </c>
      <c r="F15" s="6">
        <v>0.82</v>
      </c>
      <c r="G15" t="s">
        <v>218</v>
      </c>
      <c r="H15" t="s">
        <v>136</v>
      </c>
      <c r="I15" s="6">
        <v>0</v>
      </c>
      <c r="J15" s="5">
        <v>27880000</v>
      </c>
      <c r="K15" s="5">
        <v>0</v>
      </c>
      <c r="L15" s="6">
        <v>0.0438</v>
      </c>
    </row>
    <row r="16" spans="1:12">
      <c r="A16" t="s">
        <v>173</v>
      </c>
      <c r="B16" t="s">
        <v>191</v>
      </c>
      <c r="C16" t="s">
        <v>208</v>
      </c>
      <c r="D16" t="s">
        <v>214</v>
      </c>
      <c r="E16" s="5">
        <v>33000000</v>
      </c>
      <c r="F16" s="6">
        <v>0.9399999999999999</v>
      </c>
      <c r="G16" t="s">
        <v>217</v>
      </c>
      <c r="H16" t="s">
        <v>135</v>
      </c>
      <c r="I16" s="6">
        <v>0.85</v>
      </c>
      <c r="J16" s="5">
        <v>31020000</v>
      </c>
      <c r="K16" s="5">
        <v>26367000</v>
      </c>
      <c r="L16" s="6">
        <v>0.0488</v>
      </c>
    </row>
    <row r="17" spans="1:12">
      <c r="A17" t="s">
        <v>174</v>
      </c>
      <c r="B17" t="s">
        <v>192</v>
      </c>
      <c r="C17" t="s">
        <v>209</v>
      </c>
      <c r="D17" t="s">
        <v>214</v>
      </c>
      <c r="E17" s="5">
        <v>32000000</v>
      </c>
      <c r="F17" s="6">
        <v>0.97</v>
      </c>
      <c r="G17" t="s">
        <v>217</v>
      </c>
      <c r="H17" t="s">
        <v>135</v>
      </c>
      <c r="I17" s="6">
        <v>0.85</v>
      </c>
      <c r="J17" s="5">
        <v>31040000</v>
      </c>
      <c r="K17" s="5">
        <v>26384000</v>
      </c>
      <c r="L17" s="6">
        <v>0.0488</v>
      </c>
    </row>
    <row r="18" spans="1:12">
      <c r="A18" t="s">
        <v>175</v>
      </c>
      <c r="B18" t="s">
        <v>193</v>
      </c>
      <c r="C18" t="s">
        <v>210</v>
      </c>
      <c r="D18" t="s">
        <v>216</v>
      </c>
      <c r="E18" s="5">
        <v>30000000</v>
      </c>
      <c r="F18" s="6">
        <v>0.8</v>
      </c>
      <c r="G18" t="s">
        <v>218</v>
      </c>
      <c r="H18" t="s">
        <v>136</v>
      </c>
      <c r="I18" s="6">
        <v>0</v>
      </c>
      <c r="J18" s="5">
        <v>24000000</v>
      </c>
      <c r="K18" s="5">
        <v>0</v>
      </c>
      <c r="L18" s="6">
        <v>0.0377</v>
      </c>
    </row>
    <row r="19" spans="1:12">
      <c r="A19" t="s">
        <v>176</v>
      </c>
      <c r="B19" t="s">
        <v>194</v>
      </c>
      <c r="C19" t="s">
        <v>211</v>
      </c>
      <c r="D19" t="s">
        <v>214</v>
      </c>
      <c r="E19" s="5">
        <v>28000000</v>
      </c>
      <c r="F19" s="6">
        <v>0.96</v>
      </c>
      <c r="G19" t="s">
        <v>217</v>
      </c>
      <c r="H19" t="s">
        <v>135</v>
      </c>
      <c r="I19" s="6">
        <v>0.85</v>
      </c>
      <c r="J19" s="5">
        <v>26880000</v>
      </c>
      <c r="K19" s="5">
        <v>22848000</v>
      </c>
      <c r="L19" s="6">
        <v>0.0423</v>
      </c>
    </row>
    <row r="20" spans="1:12">
      <c r="A20" t="s">
        <v>177</v>
      </c>
      <c r="B20" t="s">
        <v>195</v>
      </c>
      <c r="C20" t="s">
        <v>212</v>
      </c>
      <c r="D20" t="s">
        <v>215</v>
      </c>
      <c r="E20" s="5">
        <v>26000000</v>
      </c>
      <c r="F20" s="6">
        <v>0.9399999999999999</v>
      </c>
      <c r="G20" t="s">
        <v>217</v>
      </c>
      <c r="H20" t="s">
        <v>135</v>
      </c>
      <c r="I20" s="6">
        <v>0.75</v>
      </c>
      <c r="J20" s="5">
        <v>24440000</v>
      </c>
      <c r="K20" s="5">
        <v>18330000</v>
      </c>
      <c r="L20" s="6">
        <v>0.0384</v>
      </c>
    </row>
    <row r="21" spans="1:12">
      <c r="A21" t="s">
        <v>178</v>
      </c>
      <c r="B21" t="s">
        <v>196</v>
      </c>
      <c r="C21" t="s">
        <v>213</v>
      </c>
      <c r="D21" t="s">
        <v>214</v>
      </c>
      <c r="E21" s="5">
        <v>24000000</v>
      </c>
      <c r="F21" s="6">
        <v>0.95</v>
      </c>
      <c r="G21" t="s">
        <v>217</v>
      </c>
      <c r="H21" t="s">
        <v>135</v>
      </c>
      <c r="I21" s="6">
        <v>0.85</v>
      </c>
      <c r="J21" s="5">
        <v>22800000</v>
      </c>
      <c r="K21" s="5">
        <v>19380000</v>
      </c>
      <c r="L21" s="6">
        <v>0.0359</v>
      </c>
    </row>
  </sheetData>
  <autoFilter ref="A3:L21"/>
  <mergeCells count="1">
    <mergeCell ref="A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showGridLines="0" workbookViewId="0"/>
  </sheetViews>
  <sheetFormatPr defaultRowHeight="15"/>
  <cols>
    <col min="1" max="1" width="38.7109375" customWidth="1"/>
    <col min="2" max="2" width="24.7109375" customWidth="1"/>
  </cols>
  <sheetData>
    <row r="1" spans="1:2">
      <c r="A1" s="1" t="s">
        <v>220</v>
      </c>
      <c r="B1" s="1"/>
    </row>
    <row r="3" spans="1:2" s="4" customFormat="1" ht="30" customHeight="1">
      <c r="A3" s="4" t="s">
        <v>30</v>
      </c>
      <c r="B3" s="4" t="s">
        <v>31</v>
      </c>
    </row>
    <row r="4" spans="1:2">
      <c r="A4" t="s">
        <v>33</v>
      </c>
      <c r="B4">
        <v>150000000</v>
      </c>
    </row>
    <row r="5" spans="1:2">
      <c r="A5" t="s">
        <v>44</v>
      </c>
      <c r="B5">
        <v>484137500</v>
      </c>
    </row>
    <row r="6" spans="1:2">
      <c r="A6" t="s">
        <v>46</v>
      </c>
      <c r="B6">
        <v>584090000</v>
      </c>
    </row>
    <row r="7" spans="1:2">
      <c r="A7" t="s">
        <v>50</v>
      </c>
      <c r="B7">
        <v>204431500</v>
      </c>
    </row>
    <row r="8" spans="1:2">
      <c r="A8" t="s">
        <v>51</v>
      </c>
      <c r="B8">
        <v>150000000</v>
      </c>
    </row>
    <row r="9" spans="1:2">
      <c r="A9" t="s">
        <v>34</v>
      </c>
      <c r="B9">
        <v>110000000</v>
      </c>
    </row>
    <row r="10" spans="1:2">
      <c r="A10" t="s">
        <v>52</v>
      </c>
      <c r="B10">
        <v>40000000</v>
      </c>
    </row>
    <row r="11" spans="1:2">
      <c r="A11" t="s">
        <v>48</v>
      </c>
      <c r="B11">
        <v>0.1883271413652005</v>
      </c>
    </row>
    <row r="12" spans="1:2">
      <c r="A12" t="s">
        <v>47</v>
      </c>
      <c r="B12">
        <v>0.35</v>
      </c>
    </row>
    <row r="13" spans="1:2">
      <c r="A13" t="s">
        <v>54</v>
      </c>
      <c r="B13">
        <v>5.7</v>
      </c>
    </row>
    <row r="14" spans="1:2">
      <c r="A14" t="s">
        <v>53</v>
      </c>
      <c r="B14">
        <v>2</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5"/>
  <sheetViews>
    <sheetView showGridLines="0" workbookViewId="0">
      <pane ySplit="3" topLeftCell="A4" activePane="bottomLeft" state="frozen"/>
      <selection pane="bottomLeft"/>
    </sheetView>
  </sheetViews>
  <sheetFormatPr defaultRowHeight="15"/>
  <cols>
    <col min="1" max="1" width="16.7109375" customWidth="1"/>
    <col min="2" max="2" width="14.7109375" customWidth="1"/>
    <col min="3" max="3" width="15.7109375" customWidth="1"/>
    <col min="4" max="4" width="22.7109375" customWidth="1"/>
    <col min="5" max="5" width="26.7109375" customWidth="1"/>
    <col min="6" max="6" width="29.7109375" customWidth="1"/>
    <col min="7" max="7" width="23.7109375" customWidth="1"/>
    <col min="8" max="9" width="21.7109375" customWidth="1"/>
    <col min="10" max="10" width="8.7109375" customWidth="1"/>
    <col min="11" max="11" width="18.7109375" customWidth="1"/>
    <col min="12" max="12" width="13.7109375" customWidth="1"/>
    <col min="13" max="13" width="17.7109375" customWidth="1"/>
    <col min="14" max="14" width="16.7109375" customWidth="1"/>
    <col min="15" max="15" width="12.7109375" customWidth="1"/>
    <col min="16" max="16" width="18.7109375" customWidth="1"/>
    <col min="17" max="17" width="21.7109375" customWidth="1"/>
    <col min="18" max="18" width="16.7109375" customWidth="1"/>
  </cols>
  <sheetData>
    <row r="1" spans="1:18">
      <c r="A1" s="1" t="s">
        <v>252</v>
      </c>
      <c r="B1" s="1"/>
      <c r="C1" s="1"/>
      <c r="D1" s="1"/>
      <c r="E1" s="1"/>
      <c r="F1" s="1"/>
      <c r="G1" s="1"/>
      <c r="H1" s="1"/>
      <c r="I1" s="1"/>
      <c r="J1" s="1"/>
      <c r="K1" s="1"/>
      <c r="L1" s="1"/>
      <c r="M1" s="1"/>
      <c r="N1" s="1"/>
      <c r="O1" s="1"/>
      <c r="P1" s="1"/>
      <c r="Q1" s="1"/>
      <c r="R1" s="1"/>
    </row>
    <row r="3" spans="1:18" s="4" customFormat="1" ht="34" customHeight="1">
      <c r="A3" s="4" t="s">
        <v>221</v>
      </c>
      <c r="B3" s="4" t="s">
        <v>222</v>
      </c>
      <c r="C3" s="4" t="s">
        <v>223</v>
      </c>
      <c r="D3" s="4" t="s">
        <v>224</v>
      </c>
      <c r="E3" s="4" t="s">
        <v>225</v>
      </c>
      <c r="F3" s="4" t="s">
        <v>226</v>
      </c>
      <c r="G3" s="4" t="s">
        <v>227</v>
      </c>
      <c r="H3" s="4" t="s">
        <v>228</v>
      </c>
      <c r="I3" s="4" t="s">
        <v>229</v>
      </c>
      <c r="J3" s="4" t="s">
        <v>230</v>
      </c>
      <c r="K3" s="4" t="s">
        <v>231</v>
      </c>
      <c r="L3" s="4" t="s">
        <v>232</v>
      </c>
      <c r="M3" s="4" t="s">
        <v>233</v>
      </c>
      <c r="N3" s="4" t="s">
        <v>234</v>
      </c>
      <c r="O3" s="4" t="s">
        <v>235</v>
      </c>
      <c r="P3" s="4" t="s">
        <v>236</v>
      </c>
      <c r="Q3" s="4" t="s">
        <v>237</v>
      </c>
      <c r="R3" s="4" t="s">
        <v>238</v>
      </c>
    </row>
    <row r="4" spans="1:18">
      <c r="A4" t="s">
        <v>239</v>
      </c>
      <c r="B4">
        <v>584090000</v>
      </c>
      <c r="C4">
        <v>150000000</v>
      </c>
      <c r="D4">
        <v>110000000</v>
      </c>
      <c r="E4">
        <v>0.7333</v>
      </c>
      <c r="F4">
        <v>484137500</v>
      </c>
      <c r="G4">
        <v>204431500</v>
      </c>
      <c r="H4">
        <v>150000000</v>
      </c>
      <c r="I4">
        <v>40000000</v>
      </c>
      <c r="J4">
        <v>0.1883</v>
      </c>
      <c r="K4">
        <v>0.35</v>
      </c>
      <c r="L4">
        <v>450000000</v>
      </c>
      <c r="M4" t="s">
        <v>147</v>
      </c>
      <c r="N4" t="s">
        <v>251</v>
      </c>
      <c r="O4" t="s">
        <v>147</v>
      </c>
      <c r="P4" t="s">
        <v>147</v>
      </c>
      <c r="Q4" t="s">
        <v>147</v>
      </c>
      <c r="R4" t="s">
        <v>147</v>
      </c>
    </row>
    <row r="5" spans="1:18">
      <c r="A5" t="s">
        <v>240</v>
      </c>
      <c r="B5">
        <v>587594540</v>
      </c>
      <c r="C5">
        <v>150000000</v>
      </c>
      <c r="D5">
        <v>115000000</v>
      </c>
      <c r="E5">
        <v>0.7667</v>
      </c>
      <c r="F5">
        <v>486137500</v>
      </c>
      <c r="G5">
        <v>205658089</v>
      </c>
      <c r="H5">
        <v>150000000</v>
      </c>
      <c r="I5">
        <v>35000000</v>
      </c>
      <c r="J5">
        <v>0.1957</v>
      </c>
      <c r="K5">
        <v>0.35</v>
      </c>
      <c r="L5">
        <v>450000000</v>
      </c>
      <c r="M5" t="s">
        <v>147</v>
      </c>
      <c r="N5" t="s">
        <v>251</v>
      </c>
      <c r="O5" t="s">
        <v>147</v>
      </c>
      <c r="P5" t="s">
        <v>147</v>
      </c>
      <c r="Q5" t="s">
        <v>147</v>
      </c>
      <c r="R5" t="s">
        <v>147</v>
      </c>
    </row>
    <row r="6" spans="1:18">
      <c r="A6" t="s">
        <v>241</v>
      </c>
      <c r="B6">
        <v>589944918.16</v>
      </c>
      <c r="C6">
        <v>150000000</v>
      </c>
      <c r="D6">
        <v>123000000</v>
      </c>
      <c r="E6">
        <v>0.82</v>
      </c>
      <c r="F6">
        <v>487637500</v>
      </c>
      <c r="G6">
        <v>206480721.36</v>
      </c>
      <c r="H6">
        <v>150000000</v>
      </c>
      <c r="I6">
        <v>27000000</v>
      </c>
      <c r="J6">
        <v>0.2085</v>
      </c>
      <c r="K6">
        <v>0.35</v>
      </c>
      <c r="L6">
        <v>450000000</v>
      </c>
      <c r="M6" t="s">
        <v>147</v>
      </c>
      <c r="N6" t="s">
        <v>251</v>
      </c>
      <c r="O6" t="s">
        <v>147</v>
      </c>
      <c r="P6" t="s">
        <v>147</v>
      </c>
      <c r="Q6" t="s">
        <v>147</v>
      </c>
      <c r="R6" t="s">
        <v>147</v>
      </c>
    </row>
    <row r="7" spans="1:18">
      <c r="A7" t="s">
        <v>242</v>
      </c>
      <c r="B7">
        <v>584045468.98</v>
      </c>
      <c r="C7">
        <v>150000000</v>
      </c>
      <c r="D7">
        <v>113000000</v>
      </c>
      <c r="E7">
        <v>0.7533</v>
      </c>
      <c r="F7">
        <v>483637500</v>
      </c>
      <c r="G7">
        <v>204415914.14</v>
      </c>
      <c r="H7">
        <v>150000000</v>
      </c>
      <c r="I7">
        <v>37000000</v>
      </c>
      <c r="J7">
        <v>0.1935</v>
      </c>
      <c r="K7">
        <v>0.35</v>
      </c>
      <c r="L7">
        <v>450000000</v>
      </c>
      <c r="M7" t="s">
        <v>147</v>
      </c>
      <c r="N7" t="s">
        <v>251</v>
      </c>
      <c r="O7" t="s">
        <v>147</v>
      </c>
      <c r="P7" t="s">
        <v>147</v>
      </c>
      <c r="Q7" t="s">
        <v>147</v>
      </c>
      <c r="R7" t="s">
        <v>147</v>
      </c>
    </row>
    <row r="8" spans="1:18">
      <c r="A8" t="s">
        <v>243</v>
      </c>
      <c r="B8">
        <v>585797605.39</v>
      </c>
      <c r="C8">
        <v>150000000</v>
      </c>
      <c r="D8">
        <v>125000000</v>
      </c>
      <c r="E8">
        <v>0.8333</v>
      </c>
      <c r="F8">
        <v>486137500</v>
      </c>
      <c r="G8">
        <v>205029161.88</v>
      </c>
      <c r="H8">
        <v>150000000</v>
      </c>
      <c r="I8">
        <v>25000000</v>
      </c>
      <c r="J8">
        <v>0.2134</v>
      </c>
      <c r="K8">
        <v>0.35</v>
      </c>
      <c r="L8">
        <v>450000000</v>
      </c>
      <c r="M8" t="s">
        <v>147</v>
      </c>
      <c r="N8" t="s">
        <v>251</v>
      </c>
      <c r="O8" t="s">
        <v>147</v>
      </c>
      <c r="P8" t="s">
        <v>147</v>
      </c>
      <c r="Q8" t="s">
        <v>147</v>
      </c>
      <c r="R8" t="s">
        <v>147</v>
      </c>
    </row>
    <row r="9" spans="1:18">
      <c r="A9" t="s">
        <v>244</v>
      </c>
      <c r="B9">
        <v>588726593.41</v>
      </c>
      <c r="C9">
        <v>150000000</v>
      </c>
      <c r="D9">
        <v>119000000</v>
      </c>
      <c r="E9">
        <v>0.7933</v>
      </c>
      <c r="F9">
        <v>488137500</v>
      </c>
      <c r="G9">
        <v>206054307.69</v>
      </c>
      <c r="H9">
        <v>150000000</v>
      </c>
      <c r="I9">
        <v>31000000</v>
      </c>
      <c r="J9">
        <v>0.2021</v>
      </c>
      <c r="K9">
        <v>0.35</v>
      </c>
      <c r="L9">
        <v>450000000</v>
      </c>
      <c r="M9" t="s">
        <v>147</v>
      </c>
      <c r="N9" t="s">
        <v>251</v>
      </c>
      <c r="O9" t="s">
        <v>147</v>
      </c>
      <c r="P9" t="s">
        <v>147</v>
      </c>
      <c r="Q9" t="s">
        <v>147</v>
      </c>
      <c r="R9" t="s">
        <v>147</v>
      </c>
    </row>
    <row r="10" spans="1:18">
      <c r="A10" t="s">
        <v>245</v>
      </c>
      <c r="B10">
        <v>578129514.73</v>
      </c>
      <c r="C10">
        <v>150000000</v>
      </c>
      <c r="D10">
        <v>128000000</v>
      </c>
      <c r="E10">
        <v>0.8532999999999999</v>
      </c>
      <c r="F10">
        <v>483137500</v>
      </c>
      <c r="G10">
        <v>202345330.16</v>
      </c>
      <c r="H10">
        <v>150000000</v>
      </c>
      <c r="I10">
        <v>22000000</v>
      </c>
      <c r="J10">
        <v>0.2214</v>
      </c>
      <c r="K10">
        <v>0.35</v>
      </c>
      <c r="L10">
        <v>450000000</v>
      </c>
      <c r="M10" t="s">
        <v>147</v>
      </c>
      <c r="N10" t="s">
        <v>251</v>
      </c>
      <c r="O10" t="s">
        <v>147</v>
      </c>
      <c r="P10" t="s">
        <v>147</v>
      </c>
      <c r="Q10" t="s">
        <v>147</v>
      </c>
      <c r="R10" t="s">
        <v>147</v>
      </c>
    </row>
    <row r="11" spans="1:18">
      <c r="A11" t="s">
        <v>246</v>
      </c>
      <c r="B11">
        <v>579285773.76</v>
      </c>
      <c r="C11">
        <v>150000000</v>
      </c>
      <c r="D11">
        <v>123000000</v>
      </c>
      <c r="E11">
        <v>0.82</v>
      </c>
      <c r="F11">
        <v>484137500</v>
      </c>
      <c r="G11">
        <v>202750020.82</v>
      </c>
      <c r="H11">
        <v>150000000</v>
      </c>
      <c r="I11">
        <v>27000000</v>
      </c>
      <c r="J11">
        <v>0.2123</v>
      </c>
      <c r="K11">
        <v>0.35</v>
      </c>
      <c r="L11">
        <v>450000000</v>
      </c>
      <c r="M11" t="s">
        <v>147</v>
      </c>
      <c r="N11" t="s">
        <v>251</v>
      </c>
      <c r="O11" t="s">
        <v>147</v>
      </c>
      <c r="P11" t="s">
        <v>147</v>
      </c>
      <c r="Q11" t="s">
        <v>147</v>
      </c>
      <c r="R11" t="s">
        <v>147</v>
      </c>
    </row>
    <row r="12" spans="1:18">
      <c r="A12" t="s">
        <v>247</v>
      </c>
      <c r="B12">
        <v>581602916.86</v>
      </c>
      <c r="C12">
        <v>150000000</v>
      </c>
      <c r="D12">
        <v>130000000</v>
      </c>
      <c r="E12">
        <v>0.8667</v>
      </c>
      <c r="F12">
        <v>485637500</v>
      </c>
      <c r="G12">
        <v>203561020.9</v>
      </c>
      <c r="H12">
        <v>150000000</v>
      </c>
      <c r="I12">
        <v>20000000</v>
      </c>
      <c r="J12">
        <v>0.2235</v>
      </c>
      <c r="K12">
        <v>0.35</v>
      </c>
      <c r="L12">
        <v>450000000</v>
      </c>
      <c r="M12" t="s">
        <v>147</v>
      </c>
      <c r="N12" t="s">
        <v>251</v>
      </c>
      <c r="O12" t="s">
        <v>147</v>
      </c>
      <c r="P12" t="s">
        <v>147</v>
      </c>
      <c r="Q12" t="s">
        <v>147</v>
      </c>
      <c r="R12" t="s">
        <v>147</v>
      </c>
    </row>
    <row r="13" spans="1:18">
      <c r="A13" t="s">
        <v>248</v>
      </c>
      <c r="B13">
        <v>578113299.35</v>
      </c>
      <c r="C13">
        <v>150000000</v>
      </c>
      <c r="D13">
        <v>122000000</v>
      </c>
      <c r="E13">
        <v>0.8133</v>
      </c>
      <c r="F13">
        <v>483637500</v>
      </c>
      <c r="G13">
        <v>202339654.77</v>
      </c>
      <c r="H13">
        <v>150000000</v>
      </c>
      <c r="I13">
        <v>28000000</v>
      </c>
      <c r="J13">
        <v>0.211</v>
      </c>
      <c r="K13">
        <v>0.35</v>
      </c>
      <c r="L13">
        <v>450000000</v>
      </c>
      <c r="M13" t="s">
        <v>147</v>
      </c>
      <c r="N13" t="s">
        <v>251</v>
      </c>
      <c r="O13" t="s">
        <v>147</v>
      </c>
      <c r="P13" t="s">
        <v>147</v>
      </c>
      <c r="Q13" t="s">
        <v>147</v>
      </c>
      <c r="R13" t="s">
        <v>147</v>
      </c>
    </row>
    <row r="14" spans="1:18">
      <c r="A14" t="s">
        <v>249</v>
      </c>
      <c r="B14">
        <v>579847639.25</v>
      </c>
      <c r="C14">
        <v>150000000</v>
      </c>
      <c r="D14">
        <v>126000000</v>
      </c>
      <c r="E14">
        <v>0.84</v>
      </c>
      <c r="F14">
        <v>484637500</v>
      </c>
      <c r="G14">
        <v>202946673.74</v>
      </c>
      <c r="H14">
        <v>150000000</v>
      </c>
      <c r="I14">
        <v>24000000</v>
      </c>
      <c r="J14">
        <v>0.2173</v>
      </c>
      <c r="K14">
        <v>0.35</v>
      </c>
      <c r="L14">
        <v>450000000</v>
      </c>
      <c r="M14" t="s">
        <v>147</v>
      </c>
      <c r="N14" t="s">
        <v>251</v>
      </c>
      <c r="O14" t="s">
        <v>147</v>
      </c>
      <c r="P14" t="s">
        <v>147</v>
      </c>
      <c r="Q14" t="s">
        <v>147</v>
      </c>
      <c r="R14" t="s">
        <v>147</v>
      </c>
    </row>
    <row r="15" spans="1:18">
      <c r="A15" t="s">
        <v>250</v>
      </c>
      <c r="B15">
        <v>582746877.45</v>
      </c>
      <c r="C15">
        <v>150000000</v>
      </c>
      <c r="D15">
        <v>120000000</v>
      </c>
      <c r="E15">
        <v>0.8</v>
      </c>
      <c r="F15">
        <v>485637500</v>
      </c>
      <c r="G15">
        <v>203961407.11</v>
      </c>
      <c r="H15">
        <v>150000000</v>
      </c>
      <c r="I15">
        <v>30000000</v>
      </c>
      <c r="J15">
        <v>0.2059</v>
      </c>
      <c r="K15">
        <v>0.35</v>
      </c>
      <c r="L15">
        <v>450000000</v>
      </c>
      <c r="M15" t="s">
        <v>147</v>
      </c>
      <c r="N15" t="s">
        <v>251</v>
      </c>
      <c r="O15" t="s">
        <v>147</v>
      </c>
      <c r="P15" t="s">
        <v>147</v>
      </c>
      <c r="Q15" t="s">
        <v>147</v>
      </c>
      <c r="R15" t="s">
        <v>147</v>
      </c>
    </row>
  </sheetData>
  <autoFilter ref="A3:R15"/>
  <mergeCells count="1">
    <mergeCell ref="A1:R1"/>
  </mergeCells>
  <conditionalFormatting sqref="M4:M16">
    <cfRule type="containsText" dxfId="1" priority="1" operator="containsText" text="Pass">
      <formula>NOT(ISERROR(SEARCH("Pass",M4)))</formula>
    </cfRule>
    <cfRule type="containsText" dxfId="2" priority="2" operator="containsText" text="Watch">
      <formula>NOT(ISERROR(SEARCH("Watch",M4)))</formula>
    </cfRule>
    <cfRule type="containsText" dxfId="3" priority="3" operator="containsText" text="Fail">
      <formula>NOT(ISERROR(SEARCH("Fail",M4)))</formula>
    </cfRule>
  </conditionalFormatting>
  <conditionalFormatting sqref="O4:O16">
    <cfRule type="containsText" dxfId="1" priority="4" operator="containsText" text="Pass">
      <formula>NOT(ISERROR(SEARCH("Pass",O4)))</formula>
    </cfRule>
    <cfRule type="containsText" dxfId="2" priority="5" operator="containsText" text="Watch">
      <formula>NOT(ISERROR(SEARCH("Watch",O4)))</formula>
    </cfRule>
    <cfRule type="containsText" dxfId="3" priority="6" operator="containsText" text="Fail">
      <formula>NOT(ISERROR(SEARCH("Fail",O4)))</formula>
    </cfRule>
  </conditionalFormatting>
  <conditionalFormatting sqref="P4:P16">
    <cfRule type="containsText" dxfId="1" priority="7" operator="containsText" text="Pass">
      <formula>NOT(ISERROR(SEARCH("Pass",P4)))</formula>
    </cfRule>
    <cfRule type="containsText" dxfId="2" priority="8" operator="containsText" text="Watch">
      <formula>NOT(ISERROR(SEARCH("Watch",P4)))</formula>
    </cfRule>
    <cfRule type="containsText" dxfId="3" priority="9" operator="containsText" text="Fail">
      <formula>NOT(ISERROR(SEARCH("Fail",P4)))</formula>
    </cfRule>
  </conditionalFormatting>
  <conditionalFormatting sqref="Q4:Q16">
    <cfRule type="containsText" dxfId="1" priority="10" operator="containsText" text="Pass">
      <formula>NOT(ISERROR(SEARCH("Pass",Q4)))</formula>
    </cfRule>
    <cfRule type="containsText" dxfId="2" priority="11" operator="containsText" text="Watch">
      <formula>NOT(ISERROR(SEARCH("Watch",Q4)))</formula>
    </cfRule>
    <cfRule type="containsText" dxfId="3" priority="12" operator="containsText" text="Fail">
      <formula>NOT(ISERROR(SEARCH("Fail",Q4)))</formula>
    </cfRule>
  </conditionalFormatting>
  <conditionalFormatting sqref="R4:R16">
    <cfRule type="containsText" dxfId="1" priority="13" operator="containsText" text="Pass">
      <formula>NOT(ISERROR(SEARCH("Pass",R4)))</formula>
    </cfRule>
    <cfRule type="containsText" dxfId="2" priority="14" operator="containsText" text="Watch">
      <formula>NOT(ISERROR(SEARCH("Watch",R4)))</formula>
    </cfRule>
    <cfRule type="containsText" dxfId="3" priority="15" operator="containsText" text="Fail">
      <formula>NOT(ISERROR(SEARCH("Fail",R4)))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52"/>
  <sheetViews>
    <sheetView showGridLines="0" workbookViewId="0"/>
  </sheetViews>
  <sheetFormatPr defaultRowHeight="15"/>
  <cols>
    <col min="1" max="1" width="32.7109375" customWidth="1"/>
    <col min="2" max="8" width="20.7109375" customWidth="1"/>
  </cols>
  <sheetData>
    <row r="1" spans="1:8">
      <c r="A1" s="1" t="s">
        <v>253</v>
      </c>
      <c r="B1" s="1"/>
      <c r="C1" s="1"/>
      <c r="D1" s="1"/>
      <c r="E1" s="1"/>
      <c r="F1" s="1"/>
      <c r="G1" s="1"/>
      <c r="H1" s="1"/>
    </row>
    <row r="4" spans="1:8">
      <c r="A4" s="2" t="s">
        <v>254</v>
      </c>
      <c r="B4" s="2"/>
    </row>
    <row r="5" spans="1:8">
      <c r="A5" s="4" t="s">
        <v>30</v>
      </c>
      <c r="B5" s="4" t="s">
        <v>31</v>
      </c>
    </row>
    <row r="6" spans="1:8">
      <c r="A6" s="3" t="s">
        <v>33</v>
      </c>
      <c r="B6" s="3">
        <v>150000000</v>
      </c>
    </row>
    <row r="7" spans="1:8">
      <c r="A7" s="3" t="s">
        <v>44</v>
      </c>
      <c r="B7" s="3">
        <v>484137500</v>
      </c>
    </row>
    <row r="8" spans="1:8">
      <c r="A8" s="3" t="s">
        <v>46</v>
      </c>
      <c r="B8" s="3">
        <v>584090000</v>
      </c>
    </row>
    <row r="9" spans="1:8">
      <c r="A9" s="3" t="s">
        <v>50</v>
      </c>
      <c r="B9" s="3">
        <v>204431500</v>
      </c>
    </row>
    <row r="10" spans="1:8">
      <c r="A10" s="3" t="s">
        <v>51</v>
      </c>
      <c r="B10" s="3">
        <v>150000000</v>
      </c>
    </row>
    <row r="11" spans="1:8">
      <c r="A11" s="3" t="s">
        <v>34</v>
      </c>
      <c r="B11" s="3">
        <v>110000000</v>
      </c>
    </row>
    <row r="12" spans="1:8">
      <c r="A12" s="3" t="s">
        <v>52</v>
      </c>
      <c r="B12" s="3">
        <v>40000000</v>
      </c>
    </row>
    <row r="13" spans="1:8">
      <c r="A13" s="3" t="s">
        <v>48</v>
      </c>
      <c r="B13" s="3">
        <v>0.1883271413652005</v>
      </c>
    </row>
    <row r="14" spans="1:8">
      <c r="A14" s="3" t="s">
        <v>47</v>
      </c>
      <c r="B14" s="3">
        <v>0.35</v>
      </c>
    </row>
    <row r="15" spans="1:8">
      <c r="A15" s="3" t="s">
        <v>54</v>
      </c>
      <c r="B15" s="3">
        <v>5.7</v>
      </c>
    </row>
    <row r="16" spans="1:8">
      <c r="A16" s="3" t="s">
        <v>53</v>
      </c>
      <c r="B16" s="3">
        <v>2</v>
      </c>
    </row>
    <row r="20" spans="1:8">
      <c r="A20" s="2" t="s">
        <v>255</v>
      </c>
      <c r="B20" s="2"/>
      <c r="C20" s="2"/>
      <c r="D20" s="2"/>
      <c r="E20" s="2"/>
      <c r="F20" s="2"/>
      <c r="G20" s="2"/>
      <c r="H20" s="2"/>
    </row>
    <row r="21" spans="1:8">
      <c r="A21" s="4" t="s">
        <v>80</v>
      </c>
      <c r="B21" s="4" t="s">
        <v>81</v>
      </c>
      <c r="C21" s="4" t="s">
        <v>86</v>
      </c>
      <c r="D21" s="4" t="s">
        <v>87</v>
      </c>
      <c r="E21" s="4" t="s">
        <v>88</v>
      </c>
      <c r="F21" s="4" t="s">
        <v>138</v>
      </c>
      <c r="G21" s="4" t="s">
        <v>89</v>
      </c>
      <c r="H21" s="4" t="s">
        <v>139</v>
      </c>
    </row>
    <row r="22" spans="1:8">
      <c r="A22" s="3" t="s">
        <v>120</v>
      </c>
      <c r="B22" s="3">
        <v>315000000</v>
      </c>
      <c r="C22" s="3">
        <v>141750000</v>
      </c>
      <c r="D22" s="3">
        <v>173250000</v>
      </c>
      <c r="E22" s="3">
        <v>155925000</v>
      </c>
      <c r="F22" s="3">
        <v>2</v>
      </c>
      <c r="G22" s="3">
        <v>0.2625</v>
      </c>
      <c r="H22" s="3">
        <v>0.9</v>
      </c>
    </row>
    <row r="23" spans="1:8">
      <c r="A23" s="3" t="s">
        <v>123</v>
      </c>
      <c r="B23" s="3">
        <v>210000000</v>
      </c>
      <c r="C23" s="3">
        <v>94500000</v>
      </c>
      <c r="D23" s="3">
        <v>115500000</v>
      </c>
      <c r="E23" s="3">
        <v>86625000</v>
      </c>
      <c r="F23" s="3">
        <v>3</v>
      </c>
      <c r="G23" s="3">
        <v>0.175</v>
      </c>
      <c r="H23" s="3">
        <v>0.75</v>
      </c>
    </row>
    <row r="24" spans="1:8">
      <c r="A24" s="3" t="s">
        <v>122</v>
      </c>
      <c r="B24" s="3">
        <v>155000000</v>
      </c>
      <c r="C24" s="3">
        <v>69750000</v>
      </c>
      <c r="D24" s="3">
        <v>85250000</v>
      </c>
      <c r="E24" s="3">
        <v>68200000</v>
      </c>
      <c r="F24" s="3">
        <v>2</v>
      </c>
      <c r="G24" s="3">
        <v>0.1291666666666666</v>
      </c>
      <c r="H24" s="3">
        <v>0.8</v>
      </c>
    </row>
    <row r="25" spans="1:8">
      <c r="A25" s="3" t="s">
        <v>124</v>
      </c>
      <c r="B25" s="3">
        <v>155000000</v>
      </c>
      <c r="C25" s="3">
        <v>69750000</v>
      </c>
      <c r="D25" s="3">
        <v>85250000</v>
      </c>
      <c r="E25" s="3">
        <v>55412500</v>
      </c>
      <c r="F25" s="3">
        <v>2</v>
      </c>
      <c r="G25" s="3">
        <v>0.1291666666666666</v>
      </c>
      <c r="H25" s="3">
        <v>0.65</v>
      </c>
    </row>
    <row r="26" spans="1:8">
      <c r="A26" s="3" t="s">
        <v>121</v>
      </c>
      <c r="B26" s="3">
        <v>155000000</v>
      </c>
      <c r="C26" s="3">
        <v>69750000</v>
      </c>
      <c r="D26" s="3">
        <v>85250000</v>
      </c>
      <c r="E26" s="3">
        <v>76725000</v>
      </c>
      <c r="F26" s="3">
        <v>1</v>
      </c>
      <c r="G26" s="3">
        <v>0.1291666666666666</v>
      </c>
      <c r="H26" s="3">
        <v>0.9</v>
      </c>
    </row>
    <row r="27" spans="1:8">
      <c r="A27" s="3" t="s">
        <v>125</v>
      </c>
      <c r="B27" s="3">
        <v>150000000</v>
      </c>
      <c r="C27" s="3">
        <v>67500000</v>
      </c>
      <c r="D27" s="3">
        <v>82500000</v>
      </c>
      <c r="E27" s="3">
        <v>41250000</v>
      </c>
      <c r="F27" s="3">
        <v>3</v>
      </c>
      <c r="G27" s="3">
        <v>0.125</v>
      </c>
      <c r="H27" s="3">
        <v>0.5</v>
      </c>
    </row>
    <row r="28" spans="1:8">
      <c r="A28" s="3" t="s">
        <v>126</v>
      </c>
      <c r="B28" s="3">
        <v>45000000</v>
      </c>
      <c r="C28" s="3">
        <v>20250000</v>
      </c>
      <c r="D28" s="3">
        <v>24750000</v>
      </c>
      <c r="E28" s="3">
        <v>0</v>
      </c>
      <c r="F28" s="3">
        <v>1</v>
      </c>
      <c r="G28" s="3">
        <v>0.0375</v>
      </c>
      <c r="H28" s="3">
        <v>0</v>
      </c>
    </row>
    <row r="29" spans="1:8">
      <c r="A29" s="3" t="s">
        <v>127</v>
      </c>
      <c r="B29" s="3">
        <v>15000000</v>
      </c>
      <c r="C29" s="3">
        <v>6750000</v>
      </c>
      <c r="D29" s="3">
        <v>8250000</v>
      </c>
      <c r="E29" s="3">
        <v>0</v>
      </c>
      <c r="F29" s="3">
        <v>1</v>
      </c>
      <c r="G29" s="3">
        <v>0.0125</v>
      </c>
      <c r="H29" s="3">
        <v>0</v>
      </c>
    </row>
    <row r="33" spans="1:11">
      <c r="A33" s="2" t="s">
        <v>256</v>
      </c>
      <c r="B33" s="2"/>
      <c r="C33" s="2"/>
      <c r="D33" s="2"/>
      <c r="E33" s="2"/>
      <c r="F33" s="2"/>
      <c r="G33" s="2"/>
      <c r="H33" s="2"/>
      <c r="I33" s="2"/>
    </row>
    <row r="34" spans="1:11">
      <c r="A34" s="4" t="s">
        <v>257</v>
      </c>
      <c r="B34" s="4" t="s">
        <v>78</v>
      </c>
      <c r="C34" s="4" t="s">
        <v>79</v>
      </c>
      <c r="D34" s="4" t="s">
        <v>80</v>
      </c>
      <c r="E34" s="4" t="s">
        <v>83</v>
      </c>
      <c r="F34" s="4" t="s">
        <v>84</v>
      </c>
      <c r="G34" s="4" t="s">
        <v>81</v>
      </c>
      <c r="H34" s="4" t="s">
        <v>87</v>
      </c>
      <c r="I34" s="4" t="s">
        <v>85</v>
      </c>
      <c r="J34" s="4" t="s">
        <v>88</v>
      </c>
      <c r="K34" s="4" t="s">
        <v>89</v>
      </c>
    </row>
    <row r="35" spans="1:11">
      <c r="A35" s="3">
        <v>1</v>
      </c>
      <c r="B35" s="3" t="s">
        <v>90</v>
      </c>
      <c r="C35" s="3" t="s">
        <v>105</v>
      </c>
      <c r="D35" s="3" t="s">
        <v>120</v>
      </c>
      <c r="E35" s="3" t="s">
        <v>128</v>
      </c>
      <c r="F35" s="3" t="s">
        <v>135</v>
      </c>
      <c r="G35" s="3">
        <v>180000000</v>
      </c>
      <c r="H35" s="3">
        <v>99000000</v>
      </c>
      <c r="I35" s="3">
        <v>0.9</v>
      </c>
      <c r="J35" s="3">
        <v>89100000</v>
      </c>
      <c r="K35" s="3">
        <v>0.15</v>
      </c>
    </row>
    <row r="36" spans="1:11">
      <c r="A36" s="3">
        <v>2</v>
      </c>
      <c r="B36" s="3" t="s">
        <v>91</v>
      </c>
      <c r="C36" s="3" t="s">
        <v>106</v>
      </c>
      <c r="D36" s="3" t="s">
        <v>121</v>
      </c>
      <c r="E36" s="3" t="s">
        <v>128</v>
      </c>
      <c r="F36" s="3" t="s">
        <v>135</v>
      </c>
      <c r="G36" s="3">
        <v>155000000</v>
      </c>
      <c r="H36" s="3">
        <v>85250000</v>
      </c>
      <c r="I36" s="3">
        <v>0.9</v>
      </c>
      <c r="J36" s="3">
        <v>76725000</v>
      </c>
      <c r="K36" s="3">
        <v>0.1291666666666666</v>
      </c>
    </row>
    <row r="37" spans="1:11">
      <c r="A37" s="3">
        <v>3</v>
      </c>
      <c r="B37" s="3" t="s">
        <v>92</v>
      </c>
      <c r="C37" s="3" t="s">
        <v>107</v>
      </c>
      <c r="D37" s="3" t="s">
        <v>120</v>
      </c>
      <c r="E37" s="3" t="s">
        <v>128</v>
      </c>
      <c r="F37" s="3" t="s">
        <v>135</v>
      </c>
      <c r="G37" s="3">
        <v>135000000</v>
      </c>
      <c r="H37" s="3">
        <v>74250000</v>
      </c>
      <c r="I37" s="3">
        <v>0.9</v>
      </c>
      <c r="J37" s="3">
        <v>66825000</v>
      </c>
      <c r="K37" s="3">
        <v>0.1125</v>
      </c>
    </row>
    <row r="38" spans="1:11">
      <c r="A38" s="3">
        <v>4</v>
      </c>
      <c r="B38" s="3" t="s">
        <v>93</v>
      </c>
      <c r="C38" s="3" t="s">
        <v>108</v>
      </c>
      <c r="D38" s="3" t="s">
        <v>122</v>
      </c>
      <c r="E38" s="3" t="s">
        <v>129</v>
      </c>
      <c r="F38" s="3" t="s">
        <v>135</v>
      </c>
      <c r="G38" s="3">
        <v>120000000</v>
      </c>
      <c r="H38" s="3">
        <v>66000000</v>
      </c>
      <c r="I38" s="3">
        <v>0.8</v>
      </c>
      <c r="J38" s="3">
        <v>52800000</v>
      </c>
      <c r="K38" s="3">
        <v>0.1</v>
      </c>
    </row>
    <row r="39" spans="1:11">
      <c r="A39" s="3">
        <v>5</v>
      </c>
      <c r="B39" s="3" t="s">
        <v>94</v>
      </c>
      <c r="C39" s="3" t="s">
        <v>109</v>
      </c>
      <c r="D39" s="3" t="s">
        <v>123</v>
      </c>
      <c r="E39" s="3" t="s">
        <v>129</v>
      </c>
      <c r="F39" s="3" t="s">
        <v>135</v>
      </c>
      <c r="G39" s="3">
        <v>95000000</v>
      </c>
      <c r="H39" s="3">
        <v>52250000</v>
      </c>
      <c r="I39" s="3">
        <v>0.75</v>
      </c>
      <c r="J39" s="3">
        <v>39187500</v>
      </c>
      <c r="K39" s="3">
        <v>0.07916666666666659</v>
      </c>
    </row>
    <row r="40" spans="1:11">
      <c r="A40" s="3">
        <v>6</v>
      </c>
      <c r="B40" s="3" t="s">
        <v>95</v>
      </c>
      <c r="C40" s="3" t="s">
        <v>110</v>
      </c>
      <c r="D40" s="3" t="s">
        <v>123</v>
      </c>
      <c r="E40" s="3" t="s">
        <v>130</v>
      </c>
      <c r="F40" s="3" t="s">
        <v>135</v>
      </c>
      <c r="G40" s="3">
        <v>85000000</v>
      </c>
      <c r="H40" s="3">
        <v>46750000</v>
      </c>
      <c r="I40" s="3">
        <v>0.75</v>
      </c>
      <c r="J40" s="3">
        <v>35062500</v>
      </c>
      <c r="K40" s="3">
        <v>0.0708333333333333</v>
      </c>
    </row>
    <row r="41" spans="1:11">
      <c r="A41" s="3">
        <v>7</v>
      </c>
      <c r="B41" s="3" t="s">
        <v>96</v>
      </c>
      <c r="C41" s="3" t="s">
        <v>111</v>
      </c>
      <c r="D41" s="3" t="s">
        <v>124</v>
      </c>
      <c r="E41" s="3" t="s">
        <v>131</v>
      </c>
      <c r="F41" s="3" t="s">
        <v>135</v>
      </c>
      <c r="G41" s="3">
        <v>80000000</v>
      </c>
      <c r="H41" s="3">
        <v>44000000</v>
      </c>
      <c r="I41" s="3">
        <v>0.65</v>
      </c>
      <c r="J41" s="3">
        <v>28600000</v>
      </c>
      <c r="K41" s="3">
        <v>0.0666666666666666</v>
      </c>
    </row>
    <row r="42" spans="1:11">
      <c r="A42" s="3">
        <v>8</v>
      </c>
      <c r="B42" s="3" t="s">
        <v>97</v>
      </c>
      <c r="C42" s="3" t="s">
        <v>112</v>
      </c>
      <c r="D42" s="3" t="s">
        <v>124</v>
      </c>
      <c r="E42" s="3" t="s">
        <v>131</v>
      </c>
      <c r="F42" s="3" t="s">
        <v>135</v>
      </c>
      <c r="G42" s="3">
        <v>75000000</v>
      </c>
      <c r="H42" s="3">
        <v>41250000</v>
      </c>
      <c r="I42" s="3">
        <v>0.65</v>
      </c>
      <c r="J42" s="3">
        <v>26812500</v>
      </c>
      <c r="K42" s="3">
        <v>0.0625</v>
      </c>
    </row>
    <row r="43" spans="1:11">
      <c r="A43" s="3">
        <v>9</v>
      </c>
      <c r="B43" s="3" t="s">
        <v>98</v>
      </c>
      <c r="C43" s="3" t="s">
        <v>113</v>
      </c>
      <c r="D43" s="3" t="s">
        <v>125</v>
      </c>
      <c r="E43" s="3" t="s">
        <v>132</v>
      </c>
      <c r="F43" s="3" t="s">
        <v>135</v>
      </c>
      <c r="G43" s="3">
        <v>60000000</v>
      </c>
      <c r="H43" s="3">
        <v>33000000</v>
      </c>
      <c r="I43" s="3">
        <v>0.5</v>
      </c>
      <c r="J43" s="3">
        <v>16500000</v>
      </c>
      <c r="K43" s="3">
        <v>0.05</v>
      </c>
    </row>
    <row r="44" spans="1:11">
      <c r="A44" s="3">
        <v>10</v>
      </c>
      <c r="B44" s="3" t="s">
        <v>99</v>
      </c>
      <c r="C44" s="3" t="s">
        <v>114</v>
      </c>
      <c r="D44" s="3" t="s">
        <v>125</v>
      </c>
      <c r="E44" s="3" t="s">
        <v>132</v>
      </c>
      <c r="F44" s="3" t="s">
        <v>135</v>
      </c>
      <c r="G44" s="3">
        <v>50000000</v>
      </c>
      <c r="H44" s="3">
        <v>27500000</v>
      </c>
      <c r="I44" s="3">
        <v>0.5</v>
      </c>
      <c r="J44" s="3">
        <v>13750000</v>
      </c>
      <c r="K44" s="3">
        <v>0.0416666666666666</v>
      </c>
    </row>
    <row r="48" spans="1:11">
      <c r="A48" s="2" t="s">
        <v>149</v>
      </c>
      <c r="B48" s="2"/>
      <c r="C48" s="2"/>
      <c r="D48" s="2"/>
    </row>
    <row r="49" spans="1:4">
      <c r="A49" s="4" t="s">
        <v>140</v>
      </c>
      <c r="B49" s="4" t="s">
        <v>141</v>
      </c>
      <c r="C49" s="4" t="s">
        <v>142</v>
      </c>
      <c r="D49" s="4" t="s">
        <v>143</v>
      </c>
    </row>
    <row r="50" spans="1:4">
      <c r="A50" s="3" t="s">
        <v>144</v>
      </c>
      <c r="B50" s="3">
        <v>0.15</v>
      </c>
      <c r="C50" s="3">
        <v>0.2</v>
      </c>
      <c r="D50" s="3" t="s">
        <v>147</v>
      </c>
    </row>
    <row r="51" spans="1:4">
      <c r="A51" s="3" t="s">
        <v>145</v>
      </c>
      <c r="B51" s="3">
        <v>0.5708333333333333</v>
      </c>
      <c r="C51" s="3">
        <v>0.65</v>
      </c>
      <c r="D51" s="3" t="s">
        <v>147</v>
      </c>
    </row>
    <row r="52" spans="1:4">
      <c r="A52" s="3" t="s">
        <v>146</v>
      </c>
      <c r="B52" s="3">
        <v>0.0375</v>
      </c>
      <c r="C52" s="3">
        <v>0.05</v>
      </c>
      <c r="D52" s="3" t="s">
        <v>147</v>
      </c>
    </row>
  </sheetData>
  <mergeCells count="5">
    <mergeCell ref="A1:H1"/>
    <mergeCell ref="A4:B4"/>
    <mergeCell ref="A20:H20"/>
    <mergeCell ref="A33:I33"/>
    <mergeCell ref="A48:D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Assumptions</vt:lpstr>
      <vt:lpstr>Investor Commitments</vt:lpstr>
      <vt:lpstr>Borrowing Base</vt:lpstr>
      <vt:lpstr>NAV Collateral</vt:lpstr>
      <vt:lpstr>Facility Summary</vt:lpstr>
      <vt:lpstr>Covenant Monitoring</vt:lpstr>
      <vt:lpstr>Output Tables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2026-06-15T21:10:03Z</dcterms:created>
  <dcterms:modified xsi:type="dcterms:W3CDTF">2026-06-15T21:10:03Z</dcterms:modified>
</cp:coreProperties>
</file>